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Methodology" sheetId="2" state="visible" r:id="rId4"/>
    <sheet name="Risk Assessment" sheetId="3" state="visible" r:id="rId5"/>
    <sheet name="Lookups" sheetId="4" state="visible" r:id="rId6"/>
    <sheet name="Summary" sheetId="5" state="visible" r:id="rId7"/>
  </sheets>
  <definedNames>
    <definedName function="false" hidden="true" localSheetId="2" name="_xlnm._FilterDatabase" vbProcedure="false">'Risk Assessment'!$A$1:$Q$204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<sst xmlns="http://schemas.openxmlformats.org/spreadsheetml/2006/main" count="2471" uniqueCount="838">
  <si>
    <t xml:space="preserve">MicroLIMS</t>
  </si>
  <si>
    <t xml:space="preserve">DOCUMENT CONTROL MODULE — REQUIREMENTS RISK ASSESSMENT</t>
  </si>
  <si>
    <t xml:space="preserve">Document Title</t>
  </si>
  <si>
    <t xml:space="preserve">MicroLIMS Document Control Module — Requirements Risk Assessment</t>
  </si>
  <si>
    <t xml:space="preserve">Document Type</t>
  </si>
  <si>
    <t xml:space="preserve">Risk Assessment (GAMP 5, Second Edition — risk-based approach)</t>
  </si>
  <si>
    <t xml:space="preserve">Parent Documents</t>
  </si>
  <si>
    <t xml:space="preserve">Project Charter v1.0; URS v1.0; URS Amendment v1.1</t>
  </si>
  <si>
    <t xml:space="preserve">Requirement Baseline</t>
  </si>
  <si>
    <t xml:space="preserve">URS v1.1 — DC-URS-001 to DC-URS-203 (203 requirements)</t>
  </si>
  <si>
    <t xml:space="preserve">Version</t>
  </si>
  <si>
    <t xml:space="preserve">1.0 (Draft for Risk Assessment Team Review)</t>
  </si>
  <si>
    <t xml:space="preserve">Status</t>
  </si>
  <si>
    <t xml:space="preserve">Draft</t>
  </si>
  <si>
    <t xml:space="preserve">Business Area</t>
  </si>
  <si>
    <t xml:space="preserve">Quality Control — Microbiology</t>
  </si>
  <si>
    <t xml:space="preserve">System Category</t>
  </si>
  <si>
    <t xml:space="preserve">GAMP Category 5 — Bespoke / custom developed application</t>
  </si>
  <si>
    <t xml:space="preserve">Prepared Date</t>
  </si>
  <si>
    <t xml:space="preserve">06-Aug-2026</t>
  </si>
  <si>
    <t xml:space="preserve">Purpose</t>
  </si>
  <si>
    <t xml:space="preserve">To assess each approved user requirement for GxP impact and risk, and to determine the level of design control and qualification testing required for each requirement.</t>
  </si>
  <si>
    <t xml:space="preserve">IMPORTANT — HOW TO USE THIS DOCUMENT</t>
  </si>
  <si>
    <t xml:space="preserve">•  Risk assessment is a team exercise. The severity, probability and detectability values in this workbook are a proposed starting position prepared from the requirement text; they are NOT approved values.</t>
  </si>
  <si>
    <t xml:space="preserve">•  The risk assessment team (QC/Microbiology, Quality Assurance, System Owner, IT) shall review every row, agree or amend each rating, and record the rationale before the assessment is approved.</t>
  </si>
  <si>
    <t xml:space="preserve">•  Failure scenarios have been written per requirement where the requirement carries specific risk, and per category elsewhere. Category-level scenarios should be made requirement-specific during review.</t>
  </si>
  <si>
    <t xml:space="preserve">•  Risk Class and Risk Priority are calculated by formula from the Severity, Probability and Detectability columns. Change a rating and the class, priority, control strategy and test approach update automatically.</t>
  </si>
  <si>
    <t xml:space="preserve">•  The 'Team Comment / Rationale' column is provided for the review record and shall be completed for every requirement whose rating is changed from the proposed value.</t>
  </si>
  <si>
    <t xml:space="preserve">•  This assessment covers requirement risk only. It does not replace supplier assessment, infrastructure qualification, or process risk assessment.</t>
  </si>
  <si>
    <t xml:space="preserve">Risk Assessment Approval</t>
  </si>
  <si>
    <t xml:space="preserve">Role</t>
  </si>
  <si>
    <t xml:space="preserve">Name</t>
  </si>
  <si>
    <t xml:space="preserve">Signature</t>
  </si>
  <si>
    <t xml:space="preserve">Date</t>
  </si>
  <si>
    <t xml:space="preserve">System Owner</t>
  </si>
  <si>
    <t xml:space="preserve">QC / Microbiology Representative</t>
  </si>
  <si>
    <t xml:space="preserve">Quality Assurance</t>
  </si>
  <si>
    <t xml:space="preserve">IT / Technical Representative</t>
  </si>
  <si>
    <t xml:space="preserve">Risk Assessment Methodology</t>
  </si>
  <si>
    <t xml:space="preserve">Two-step qualitative assessment in accordance with GAMP 5 (Second Edition), ISPE risk-based approach and ICH Q9 principles.</t>
  </si>
  <si>
    <t xml:space="preserve">1. Severity — impact of the failure if it occurs</t>
  </si>
  <si>
    <t xml:space="preserve">Rating</t>
  </si>
  <si>
    <t xml:space="preserve">Definition</t>
  </si>
  <si>
    <t xml:space="preserve">High</t>
  </si>
  <si>
    <t xml:space="preserve">Failure could result in incorrect laboratory work, use of an unapproved or superseded procedure, loss or corruption of a GxP record, loss of attributability, or an inability to demonstrate compliance during inspection.</t>
  </si>
  <si>
    <t xml:space="preserve">Medium</t>
  </si>
  <si>
    <t xml:space="preserve">Failure could result in incomplete, delayed or misleading compliance information, requiring investigation and correction but not directly compromising a GxP record.</t>
  </si>
  <si>
    <t xml:space="preserve">Low</t>
  </si>
  <si>
    <t xml:space="preserve">Failure causes inconvenience or reduced usability with no impact on record integrity or compliance.</t>
  </si>
  <si>
    <t xml:space="preserve">2. Probability — likelihood of the failure occurring in a bespoke (Category 5) application</t>
  </si>
  <si>
    <t xml:space="preserve">Complex logic, multiple interacting states, date/time driven behaviour, concurrency, background processing, or bulk data handling.</t>
  </si>
  <si>
    <t xml:space="preserve">Standard workflow, permission or file handling logic with moderate branching.</t>
  </si>
  <si>
    <t xml:space="preserve">Simple create/read/display logic or static configuration with limited branching.</t>
  </si>
  <si>
    <t xml:space="preserve">3. Detectability — likelihood the failure is detected before it causes harm</t>
  </si>
  <si>
    <t xml:space="preserve">Failure is immediately visible to the user, blocks the workflow, or is routinely detected by normal use or existing checks.</t>
  </si>
  <si>
    <t xml:space="preserve">Failure is detectable through periodic review, reporting or supervisory checks, but not immediately.</t>
  </si>
  <si>
    <t xml:space="preserve">Failure is silent. The system continues to operate normally and the defect may only be discovered during inspection or investigation.</t>
  </si>
  <si>
    <t xml:space="preserve">4. Risk Class = Severity x Probability</t>
  </si>
  <si>
    <t xml:space="preserve">Severity</t>
  </si>
  <si>
    <t xml:space="preserve">Probability High</t>
  </si>
  <si>
    <t xml:space="preserve">Probability Medium</t>
  </si>
  <si>
    <t xml:space="preserve">Probability Low</t>
  </si>
  <si>
    <t xml:space="preserve">Class 3</t>
  </si>
  <si>
    <t xml:space="preserve">Class 2</t>
  </si>
  <si>
    <t xml:space="preserve">Class 1</t>
  </si>
  <si>
    <t xml:space="preserve">5. Risk Priority = Risk Class x Detectability</t>
  </si>
  <si>
    <t xml:space="preserve">Risk Class</t>
  </si>
  <si>
    <t xml:space="preserve">Detectability Low</t>
  </si>
  <si>
    <t xml:space="preserve">Detectability Medium</t>
  </si>
  <si>
    <t xml:space="preserve">Detectability High</t>
  </si>
  <si>
    <t xml:space="preserve">6. Control strategy and verification by Risk Priority</t>
  </si>
  <si>
    <t xml:space="preserve">Risk Priority</t>
  </si>
  <si>
    <t xml:space="preserve">Required Control Strategy</t>
  </si>
  <si>
    <t xml:space="preserve">Verification Approach</t>
  </si>
  <si>
    <t xml:space="preserve">Design control plus independent verification. Specify explicitly in the Functional/Design Specification, implement with backend enforcement, and challenge in OQ with positive and negative test cases. Supporting procedural control (SOP) required where residual risk remains.</t>
  </si>
  <si>
    <t xml:space="preserve">Individual OQ test case — positive and negative testing, executed and witnessed</t>
  </si>
  <si>
    <t xml:space="preserve">Specify in the Functional Specification and verify by individual OQ test case (positive testing). Procedural control where user judgement is involved.</t>
  </si>
  <si>
    <t xml:space="preserve">Individual OQ test case — positive testing</t>
  </si>
  <si>
    <t xml:space="preserve">Verify by grouped OQ execution or PQ/UAT scenario. No additional design control required beyond standard development and code review.</t>
  </si>
  <si>
    <t xml:space="preserve">Grouped OQ / PQ-UAT scenario verification</t>
  </si>
  <si>
    <t xml:space="preserve">Risk ID</t>
  </si>
  <si>
    <t xml:space="preserve">URS ID</t>
  </si>
  <si>
    <t xml:space="preserve">Category</t>
  </si>
  <si>
    <t xml:space="preserve">User Requirement</t>
  </si>
  <si>
    <t xml:space="preserve">Req. Priority</t>
  </si>
  <si>
    <t xml:space="preserve">GxP Impact</t>
  </si>
  <si>
    <t xml:space="preserve">Potential Failure Scenario</t>
  </si>
  <si>
    <t xml:space="preserve">Probability</t>
  </si>
  <si>
    <t xml:space="preserve">Detectability</t>
  </si>
  <si>
    <t xml:space="preserve">Risk Control Strategy</t>
  </si>
  <si>
    <t xml:space="preserve">URS Verification Method</t>
  </si>
  <si>
    <t xml:space="preserve">Residual Risk</t>
  </si>
  <si>
    <t xml:space="preserve">Team Comment / Rationale</t>
  </si>
  <si>
    <t xml:space="preserve">RA-001</t>
  </si>
  <si>
    <t xml:space="preserve">DC-URS-001</t>
  </si>
  <si>
    <t xml:space="preserve">General</t>
  </si>
  <si>
    <t xml:space="preserve">The system shall provide a dedicated Document Control module within MicroLIMS.</t>
  </si>
  <si>
    <t xml:space="preserve">Must</t>
  </si>
  <si>
    <t xml:space="preserve">Yes</t>
  </si>
  <si>
    <t xml:space="preserve">Document master metadata or identification incorrect, incomplete or not retrievable.</t>
  </si>
  <si>
    <t xml:space="preserve">OQ</t>
  </si>
  <si>
    <t xml:space="preserve">RA-002</t>
  </si>
  <si>
    <t xml:space="preserve">DC-URS-002</t>
  </si>
  <si>
    <t xml:space="preserve">The system shall maintain a centralized Master Document Register for controlled documents.</t>
  </si>
  <si>
    <t xml:space="preserve">RA-003</t>
  </si>
  <si>
    <t xml:space="preserve">DC-URS-003</t>
  </si>
  <si>
    <t xml:space="preserve">The system shall preserve the organization-issued Company Document Code as a separate field from the MicroLIMS system ID.</t>
  </si>
  <si>
    <t xml:space="preserve">RA-004</t>
  </si>
  <si>
    <t xml:space="preserve">DC-URS-004</t>
  </si>
  <si>
    <t xml:space="preserve">The system shall automatically generate a unique permanent MicroLIMS Document ID for each Document Master.</t>
  </si>
  <si>
    <t xml:space="preserve">Duplicate or non-unique MicroLIMS Document ID issued, breaking record identity.</t>
  </si>
  <si>
    <t xml:space="preserve">RA-005</t>
  </si>
  <si>
    <t xml:space="preserve">DC-URS-005</t>
  </si>
  <si>
    <t xml:space="preserve">The MicroLIMS Document ID shall remain unchanged across all revisions of the same Document Master.</t>
  </si>
  <si>
    <t xml:space="preserve">MicroLIMS Document ID changes across revisions, breaking traceability of all linked records.</t>
  </si>
  <si>
    <t xml:space="preserve">RA-006</t>
  </si>
  <si>
    <t xml:space="preserve">DC-URS-006</t>
  </si>
  <si>
    <t xml:space="preserve">Authorized users shall be able to search and filter documents by company code, MicroLIMS ID, title, type, department/section, owner, status, revision and dates.</t>
  </si>
  <si>
    <t xml:space="preserve">RA-007</t>
  </si>
  <si>
    <t xml:space="preserve">DC-URS-007</t>
  </si>
  <si>
    <t xml:space="preserve">The system shall support configurable document types including SOP, Protocol, Work Instruction, Test Method, Specification, Form, Template, Policy, Guideline and Other.</t>
  </si>
  <si>
    <t xml:space="preserve">RA-008</t>
  </si>
  <si>
    <t xml:space="preserve">DC-URS-008</t>
  </si>
  <si>
    <t xml:space="preserve">The system shall support configurable departments and sections for document ownership and classification.</t>
  </si>
  <si>
    <t xml:space="preserve">RA-009</t>
  </si>
  <si>
    <t xml:space="preserve">DC-URS-009</t>
  </si>
  <si>
    <t xml:space="preserve">Each Document Master shall maintain title, document type, department/section, owner and applicable classification metadata.</t>
  </si>
  <si>
    <t xml:space="preserve">RA-010</t>
  </si>
  <si>
    <t xml:space="preserve">DC-URS-010</t>
  </si>
  <si>
    <t xml:space="preserve">The system shall clearly identify the current effective revision of each Document Master.</t>
  </si>
  <si>
    <t xml:space="preserve">Incorrect revision presented as current effective, leading to use of a superseded procedure.</t>
  </si>
  <si>
    <t xml:space="preserve">RA-011</t>
  </si>
  <si>
    <t xml:space="preserve">DC-URS-011</t>
  </si>
  <si>
    <t xml:space="preserve">Registration &amp; Migration</t>
  </si>
  <si>
    <t xml:space="preserve">Authorized users shall be able to register a new controlled document.</t>
  </si>
  <si>
    <t xml:space="preserve">Controlled document registered or migrated with incorrect identity, revision or file association; legacy record indistinguishable from a native record.</t>
  </si>
  <si>
    <t xml:space="preserve">RA-012</t>
  </si>
  <si>
    <t xml:space="preserve">DC-URS-012</t>
  </si>
  <si>
    <t xml:space="preserve">The system shall permit a document record to be saved as Draft before all final approval/effective-date information is available.</t>
  </si>
  <si>
    <t xml:space="preserve">RA-013</t>
  </si>
  <si>
    <t xml:space="preserve">DC-URS-013</t>
  </si>
  <si>
    <t xml:space="preserve">The system shall support import of a document register from a structured file such as CSV or Excel.</t>
  </si>
  <si>
    <t xml:space="preserve">RA-014</t>
  </si>
  <si>
    <t xml:space="preserve">DC-URS-014</t>
  </si>
  <si>
    <t xml:space="preserve">The system shall support migration of a document register together with corresponding controlled files.</t>
  </si>
  <si>
    <t xml:space="preserve">RA-015</t>
  </si>
  <si>
    <t xml:space="preserve">DC-URS-015</t>
  </si>
  <si>
    <t xml:space="preserve">Migration shall provide a validation/matching step before records are committed to the controlled library.</t>
  </si>
  <si>
    <t xml:space="preserve">RA-016</t>
  </si>
  <si>
    <t xml:space="preserve">DC-URS-016</t>
  </si>
  <si>
    <t xml:space="preserve">The import process shall identify missing files, duplicate/conflicting company codes, invalid dates and other validation errors.</t>
  </si>
  <si>
    <t xml:space="preserve">RA-017</t>
  </si>
  <si>
    <t xml:space="preserve">DC-URS-017</t>
  </si>
  <si>
    <t xml:space="preserve">Authorized users shall be able to resolve or manually match files before final migration confirmation.</t>
  </si>
  <si>
    <t xml:space="preserve">RA-018</t>
  </si>
  <si>
    <t xml:space="preserve">DC-URS-018</t>
  </si>
  <si>
    <t xml:space="preserve">Imported records without files shall be identifiable as File Pending.</t>
  </si>
  <si>
    <t xml:space="preserve">RA-019</t>
  </si>
  <si>
    <t xml:space="preserve">DC-URS-019</t>
  </si>
  <si>
    <t xml:space="preserve">The system shall generate MicroLIMS Document IDs for successfully imported Document Masters.</t>
  </si>
  <si>
    <t xml:space="preserve">RA-020</t>
  </si>
  <si>
    <t xml:space="preserve">DC-URS-020</t>
  </si>
  <si>
    <t xml:space="preserve">The system shall retain an audit record of import/migration execution and results.</t>
  </si>
  <si>
    <t xml:space="preserve">RA-021</t>
  </si>
  <si>
    <t xml:space="preserve">DC-URS-021</t>
  </si>
  <si>
    <t xml:space="preserve">File Control</t>
  </si>
  <si>
    <t xml:space="preserve">The system shall support storage of a controlled PDF for each applicable document revision.</t>
  </si>
  <si>
    <t xml:space="preserve">Wrong, altered or superseded file served as the controlled copy without detection.</t>
  </si>
  <si>
    <t xml:space="preserve">RA-022</t>
  </si>
  <si>
    <t xml:space="preserve">DC-URS-022</t>
  </si>
  <si>
    <t xml:space="preserve">The system should support storage of a restricted editable source file such as DOCX for each applicable revision.</t>
  </si>
  <si>
    <t xml:space="preserve">Should</t>
  </si>
  <si>
    <t xml:space="preserve">RA-023</t>
  </si>
  <si>
    <t xml:space="preserve">DC-URS-023</t>
  </si>
  <si>
    <t xml:space="preserve">The system shall associate files with the exact revision to which they belong.</t>
  </si>
  <si>
    <t xml:space="preserve">File associated with the wrong revision; user reads content that does not correspond to the revision they were assigned.</t>
  </si>
  <si>
    <t xml:space="preserve">RA-024</t>
  </si>
  <si>
    <t xml:space="preserve">DC-URS-024</t>
  </si>
  <si>
    <t xml:space="preserve">The system shall prevent historical revision files from being overwritten through normal user functions.</t>
  </si>
  <si>
    <t xml:space="preserve">Historical revision file overwritten; original record irretrievably lost.</t>
  </si>
  <si>
    <t xml:space="preserve">RA-025</t>
  </si>
  <si>
    <t xml:space="preserve">DC-URS-025</t>
  </si>
  <si>
    <t xml:space="preserve">The system shall prevent silent replacement of files belonging to an effective revision.</t>
  </si>
  <si>
    <t xml:space="preserve">Effective revision file silently replaced; no user-visible indication that controlled content changed.</t>
  </si>
  <si>
    <t xml:space="preserve">RA-026</t>
  </si>
  <si>
    <t xml:space="preserve">DC-URS-026</t>
  </si>
  <si>
    <t xml:space="preserve">The system shall provide an integrated controlled PDF viewer for reading and review.</t>
  </si>
  <si>
    <t xml:space="preserve">RA-027</t>
  </si>
  <si>
    <t xml:space="preserve">DC-URS-027</t>
  </si>
  <si>
    <t xml:space="preserve">The viewer shall display the document identity and revision being viewed.</t>
  </si>
  <si>
    <t xml:space="preserve">RA-028</t>
  </si>
  <si>
    <t xml:space="preserve">DC-URS-028</t>
  </si>
  <si>
    <t xml:space="preserve">Access to source/editable files shall be permission-controlled.</t>
  </si>
  <si>
    <t xml:space="preserve">RA-029</t>
  </si>
  <si>
    <t xml:space="preserve">DC-URS-029</t>
  </si>
  <si>
    <t xml:space="preserve">Controlled copy download/print behavior shall be configurable by authorized administrators.</t>
  </si>
  <si>
    <t xml:space="preserve">RA-030</t>
  </si>
  <si>
    <t xml:space="preserve">DC-URS-030</t>
  </si>
  <si>
    <t xml:space="preserve">Superseded documents shall be clearly identified and access shall be controlled according to configured policy.</t>
  </si>
  <si>
    <t xml:space="preserve">Superseded document accessible without identification and used as current.</t>
  </si>
  <si>
    <t xml:space="preserve">RA-031</t>
  </si>
  <si>
    <t xml:space="preserve">DC-URS-031</t>
  </si>
  <si>
    <t xml:space="preserve">Lifecycle</t>
  </si>
  <si>
    <t xml:space="preserve">The system shall support statuses including Draft, Technical Review, Awaiting Approval, Approved, Future Effective, Effective, Superseded and Obsolete.</t>
  </si>
  <si>
    <t xml:space="preserve">Document held in an incorrect lifecycle state; unapproved or superseded content available as current.</t>
  </si>
  <si>
    <t xml:space="preserve">RA-032</t>
  </si>
  <si>
    <t xml:space="preserve">DC-URS-032</t>
  </si>
  <si>
    <t xml:space="preserve">The system shall support return-for-correction and decline/rejection outcomes where appropriate.</t>
  </si>
  <si>
    <t xml:space="preserve">RA-033</t>
  </si>
  <si>
    <t xml:space="preserve">DC-URS-033</t>
  </si>
  <si>
    <t xml:space="preserve">An effective revision shall not be directly editable.</t>
  </si>
  <si>
    <t xml:space="preserve">RA-034</t>
  </si>
  <si>
    <t xml:space="preserve">DC-URS-034</t>
  </si>
  <si>
    <t xml:space="preserve">Changes to an effective document shall require creation of a new revision.</t>
  </si>
  <si>
    <t xml:space="preserve">RA-035</t>
  </si>
  <si>
    <t xml:space="preserve">DC-URS-035</t>
  </si>
  <si>
    <t xml:space="preserve">The system shall permit an effective revision and a future-effective approved revision to coexist for the same Document Master.</t>
  </si>
  <si>
    <t xml:space="preserve">RA-036</t>
  </si>
  <si>
    <t xml:space="preserve">DC-URS-036</t>
  </si>
  <si>
    <t xml:space="preserve">On the effective date, the system shall automatically set the approved future revision to Effective and the prior effective revision to Superseded.</t>
  </si>
  <si>
    <t xml:space="preserve">RA-037</t>
  </si>
  <si>
    <t xml:space="preserve">DC-URS-037</t>
  </si>
  <si>
    <t xml:space="preserve">Automatic lifecycle transitions shall be recorded in the audit trail.</t>
  </si>
  <si>
    <t xml:space="preserve">RA-038</t>
  </si>
  <si>
    <t xml:space="preserve">DC-URS-038</t>
  </si>
  <si>
    <t xml:space="preserve">The system shall clearly distinguish approval date from effective date.</t>
  </si>
  <si>
    <t xml:space="preserve">RA-039</t>
  </si>
  <si>
    <t xml:space="preserve">DC-URS-039</t>
  </si>
  <si>
    <t xml:space="preserve">The system shall prevent more than one revision of the same Document Master from being Effective at the same time, except for explicitly configured exceptional migration states.</t>
  </si>
  <si>
    <t xml:space="preserve">Future-effective revision fails to activate on the effective date; superseded procedure remains in use.</t>
  </si>
  <si>
    <t xml:space="preserve">RA-040</t>
  </si>
  <si>
    <t xml:space="preserve">DC-URS-040</t>
  </si>
  <si>
    <t xml:space="preserve">The system shall retain complete lifecycle history for each revision.</t>
  </si>
  <si>
    <t xml:space="preserve">Prior revision not superseded on activation; two revisions appear effective simultaneously.</t>
  </si>
  <si>
    <t xml:space="preserve">RA-041</t>
  </si>
  <si>
    <t xml:space="preserve">DC-URS-041</t>
  </si>
  <si>
    <t xml:space="preserve">Periodic Review</t>
  </si>
  <si>
    <t xml:space="preserve">Each applicable document shall support a configurable review cycle and Review Due Date.</t>
  </si>
  <si>
    <t xml:space="preserve">Periodic review not scheduled, not triggered or outcome not recorded; document remains in use beyond its review period without assessment.</t>
  </si>
  <si>
    <t xml:space="preserve">RA-042</t>
  </si>
  <si>
    <t xml:space="preserve">DC-URS-042</t>
  </si>
  <si>
    <t xml:space="preserve">The system shall calculate the next review date according to the configured review cycle or authorized override.</t>
  </si>
  <si>
    <t xml:space="preserve">RA-043</t>
  </si>
  <si>
    <t xml:space="preserve">DC-URS-043</t>
  </si>
  <si>
    <t xml:space="preserve">The system shall provide configurable advance reminders for upcoming periodic reviews.</t>
  </si>
  <si>
    <t xml:space="preserve">RA-044</t>
  </si>
  <si>
    <t xml:space="preserve">DC-URS-044</t>
  </si>
  <si>
    <t xml:space="preserve">The system shall automatically create a Periodic Review task when the review becomes due.</t>
  </si>
  <si>
    <t xml:space="preserve">RA-045</t>
  </si>
  <si>
    <t xml:space="preserve">DC-URS-045</t>
  </si>
  <si>
    <t xml:space="preserve">The Periodic Review workspace shall display the actual controlled PDF being reviewed.</t>
  </si>
  <si>
    <t xml:space="preserve">RA-046</t>
  </si>
  <si>
    <t xml:space="preserve">DC-URS-046</t>
  </si>
  <si>
    <t xml:space="preserve">The reviewer shall be able to record review notes linked to a page and/or section.</t>
  </si>
  <si>
    <t xml:space="preserve">RA-047</t>
  </si>
  <si>
    <t xml:space="preserve">DC-URS-047</t>
  </si>
  <si>
    <t xml:space="preserve">The reviewer shall select an outcome of Remains Valid, Revision Required, or Recommend Obsolescence.</t>
  </si>
  <si>
    <t xml:space="preserve">RA-048</t>
  </si>
  <si>
    <t xml:space="preserve">DC-URS-048</t>
  </si>
  <si>
    <t xml:space="preserve">A Remains Valid decision shall not create a new revision.</t>
  </si>
  <si>
    <t xml:space="preserve">RA-049</t>
  </si>
  <si>
    <t xml:space="preserve">DC-URS-049</t>
  </si>
  <si>
    <t xml:space="preserve">A Remains Valid decision shall create a review history record and calculate/set the next review due date.</t>
  </si>
  <si>
    <t xml:space="preserve">RA-050</t>
  </si>
  <si>
    <t xml:space="preserve">DC-URS-050</t>
  </si>
  <si>
    <t xml:space="preserve">A Revision Required decision shall permit initiation of a new revision linked to the originating Periodic Review.</t>
  </si>
  <si>
    <t xml:space="preserve">RA-051</t>
  </si>
  <si>
    <t xml:space="preserve">DC-URS-051</t>
  </si>
  <si>
    <t xml:space="preserve">Periodic Review findings shall be transferable into the new revision as required-change items.</t>
  </si>
  <si>
    <t xml:space="preserve">RA-052</t>
  </si>
  <si>
    <t xml:space="preserve">DC-URS-052</t>
  </si>
  <si>
    <t xml:space="preserve">A recommendation for obsolescence shall require a controlled approval process before the document becomes Obsolete.</t>
  </si>
  <si>
    <t xml:space="preserve">RA-053</t>
  </si>
  <si>
    <t xml:space="preserve">DC-URS-053</t>
  </si>
  <si>
    <t xml:space="preserve">Periodic Review history shall be maintained independently from Revision History.</t>
  </si>
  <si>
    <t xml:space="preserve">RA-054</t>
  </si>
  <si>
    <t xml:space="preserve">DC-URS-054</t>
  </si>
  <si>
    <t xml:space="preserve">Overdue periodic reviews shall be identifiable on dashboards/reports.</t>
  </si>
  <si>
    <t xml:space="preserve">RA-055</t>
  </si>
  <si>
    <t xml:space="preserve">DC-URS-055</t>
  </si>
  <si>
    <t xml:space="preserve">Revision Control</t>
  </si>
  <si>
    <t xml:space="preserve">Authorized users shall be able to create a new revision from an effective document.</t>
  </si>
  <si>
    <t xml:space="preserve">Revision created, numbered or linked incorrectly; change history incomplete or effective revision ambiguous.</t>
  </si>
  <si>
    <t xml:space="preserve">RA-056</t>
  </si>
  <si>
    <t xml:space="preserve">DC-URS-056</t>
  </si>
  <si>
    <t xml:space="preserve">A new revision shall retain the same Document Master and MicroLIMS Document ID.</t>
  </si>
  <si>
    <t xml:space="preserve">RA-057</t>
  </si>
  <si>
    <t xml:space="preserve">DC-URS-057</t>
  </si>
  <si>
    <t xml:space="preserve">The system shall propose the next revision number while allowing authorized adjustment where company numbering rules require it.</t>
  </si>
  <si>
    <t xml:space="preserve">RA-058</t>
  </si>
  <si>
    <t xml:space="preserve">DC-URS-058</t>
  </si>
  <si>
    <t xml:space="preserve">Each revision shall record Reason for Revision and Change Summary.</t>
  </si>
  <si>
    <t xml:space="preserve">RA-059</t>
  </si>
  <si>
    <t xml:space="preserve">DC-URS-059</t>
  </si>
  <si>
    <t xml:space="preserve">The system shall support a Change Reference field.</t>
  </si>
  <si>
    <t xml:space="preserve">RA-060</t>
  </si>
  <si>
    <t xml:space="preserve">DC-URS-060</t>
  </si>
  <si>
    <t xml:space="preserve">The system should support Major/Minor revision classification.</t>
  </si>
  <si>
    <t xml:space="preserve">RA-061</t>
  </si>
  <si>
    <t xml:space="preserve">DC-URS-061</t>
  </si>
  <si>
    <t xml:space="preserve">The system shall support structured affected-section/change items.</t>
  </si>
  <si>
    <t xml:space="preserve">RA-062</t>
  </si>
  <si>
    <t xml:space="preserve">DC-URS-062</t>
  </si>
  <si>
    <t xml:space="preserve">The system shall support revision impact assessment categories including procedure/method, training, forms/templates, specifications, equipment, materials/media, validation, regulatory commitment, related documents and other.</t>
  </si>
  <si>
    <t xml:space="preserve">RA-063</t>
  </si>
  <si>
    <t xml:space="preserve">DC-URS-063</t>
  </si>
  <si>
    <t xml:space="preserve">Originating Periodic Review findings shall be traceable from the revision.</t>
  </si>
  <si>
    <t xml:space="preserve">RA-064</t>
  </si>
  <si>
    <t xml:space="preserve">DC-URS-064</t>
  </si>
  <si>
    <t xml:space="preserve">Before submission, each originating required-change finding shall be Addressed or have an authorized documented justification.</t>
  </si>
  <si>
    <t xml:space="preserve">RA-065</t>
  </si>
  <si>
    <t xml:space="preserve">DC-URS-065</t>
  </si>
  <si>
    <t xml:space="preserve">The current effective revision shall remain available while the proposed revision is in Draft/Review/Approval.</t>
  </si>
  <si>
    <t xml:space="preserve">RA-066</t>
  </si>
  <si>
    <t xml:space="preserve">DC-URS-066</t>
  </si>
  <si>
    <t xml:space="preserve">Review &amp; Approval</t>
  </si>
  <si>
    <t xml:space="preserve">Submitted revisions shall enter a controlled Technical Review workflow.</t>
  </si>
  <si>
    <t xml:space="preserve">Revision progresses to effective without completed technical review or authorised approval; approval record incomplete.</t>
  </si>
  <si>
    <t xml:space="preserve">RA-067</t>
  </si>
  <si>
    <t xml:space="preserve">DC-URS-067</t>
  </si>
  <si>
    <t xml:space="preserve">The reviewer shall be able to view the current effective revision and proposed revision side-by-side.</t>
  </si>
  <si>
    <t xml:space="preserve">RA-068</t>
  </si>
  <si>
    <t xml:space="preserve">DC-URS-068</t>
  </si>
  <si>
    <t xml:space="preserve">The reviewer shall be able to create page/section-specific review comments.</t>
  </si>
  <si>
    <t xml:space="preserve">RA-069</t>
  </si>
  <si>
    <t xml:space="preserve">DC-URS-069</t>
  </si>
  <si>
    <t xml:space="preserve">Review comments shall support at least Open, Author Response/Correction, Reviewer Verification and Resolved states.</t>
  </si>
  <si>
    <t xml:space="preserve">RA-070</t>
  </si>
  <si>
    <t xml:space="preserve">DC-URS-070</t>
  </si>
  <si>
    <t xml:space="preserve">The author shall not be able to close a reviewer-required comment without reviewer verification.</t>
  </si>
  <si>
    <t xml:space="preserve">Author closes a reviewer-required comment without verification; unresolved technical issue reaches approval.</t>
  </si>
  <si>
    <t xml:space="preserve">RA-071</t>
  </si>
  <si>
    <t xml:space="preserve">DC-URS-071</t>
  </si>
  <si>
    <t xml:space="preserve">Technical Review completion shall be blocked while mandatory review comments remain unresolved.</t>
  </si>
  <si>
    <t xml:space="preserve">Technical review completed with mandatory comments open.</t>
  </si>
  <si>
    <t xml:space="preserve">RA-072</t>
  </si>
  <si>
    <t xml:space="preserve">DC-URS-072</t>
  </si>
  <si>
    <t xml:space="preserve">The reviewer shall be able to Return for Correction or Complete Review/Recommend for Approval.</t>
  </si>
  <si>
    <t xml:space="preserve">RA-073</t>
  </si>
  <si>
    <t xml:space="preserve">DC-URS-073</t>
  </si>
  <si>
    <t xml:space="preserve">After completed technical review, the revision shall enter Awaiting Approval.</t>
  </si>
  <si>
    <t xml:space="preserve">RA-074</t>
  </si>
  <si>
    <t xml:space="preserve">DC-URS-074</t>
  </si>
  <si>
    <t xml:space="preserve">The approver shall be able to inspect the proposed controlled PDF, change summary, impact assessment, review history, comments/resolutions, effective date, training requirement and KAF configuration.</t>
  </si>
  <si>
    <t xml:space="preserve">RA-075</t>
  </si>
  <si>
    <t xml:space="preserve">DC-URS-075</t>
  </si>
  <si>
    <t xml:space="preserve">The approver shall be able to Approve, Return for Correction or Decline the revision.</t>
  </si>
  <si>
    <t xml:space="preserve">RA-076</t>
  </si>
  <si>
    <t xml:space="preserve">DC-URS-076</t>
  </si>
  <si>
    <t xml:space="preserve">Approval shall require authenticated electronic-signature confirmation when configured.</t>
  </si>
  <si>
    <t xml:space="preserve">Approval recorded without authenticated electronic signature.</t>
  </si>
  <si>
    <t xml:space="preserve">RA-077</t>
  </si>
  <si>
    <t xml:space="preserve">DC-URS-077</t>
  </si>
  <si>
    <t xml:space="preserve">The electronic-signature record shall capture signer identity, date/time, action/signature meaning, revision and applicable comment.</t>
  </si>
  <si>
    <t xml:space="preserve">Electronic signature record incomplete — signer, meaning, date/time or revision not captured.</t>
  </si>
  <si>
    <t xml:space="preserve">RA-078</t>
  </si>
  <si>
    <t xml:space="preserve">DC-URS-078</t>
  </si>
  <si>
    <t xml:space="preserve">The system shall prevent unauthorized users from performing reviewer or approver actions.</t>
  </si>
  <si>
    <t xml:space="preserve">RA-079</t>
  </si>
  <si>
    <t xml:space="preserve">DC-URS-079</t>
  </si>
  <si>
    <t xml:space="preserve">Approval and review actions shall be audit-trailed.</t>
  </si>
  <si>
    <t xml:space="preserve">RA-080</t>
  </si>
  <si>
    <t xml:space="preserve">DC-URS-080</t>
  </si>
  <si>
    <t xml:space="preserve">Reading &amp; Training</t>
  </si>
  <si>
    <t xml:space="preserve">Controlled revisions shall support training requirements of Read Only, Read + Acknowledge, Read + KAF, or Read + Acknowledge + KAF.</t>
  </si>
  <si>
    <t xml:space="preserve">Personnel not assigned, or assigned to the wrong revision; training status misrepresented.</t>
  </si>
  <si>
    <t xml:space="preserve">RA-081</t>
  </si>
  <si>
    <t xml:space="preserve">DC-URS-081</t>
  </si>
  <si>
    <t xml:space="preserve">Training requirements shall be configurable by document/revision and/or document type defaults.</t>
  </si>
  <si>
    <t xml:space="preserve">RA-082</t>
  </si>
  <si>
    <t xml:space="preserve">DC-URS-082</t>
  </si>
  <si>
    <t xml:space="preserve">Authorized users shall be able to assign training to individual users, roles, departments, sections or configured groups.</t>
  </si>
  <si>
    <t xml:space="preserve">RA-083</t>
  </si>
  <si>
    <t xml:space="preserve">DC-URS-083</t>
  </si>
  <si>
    <t xml:space="preserve">Every training assignment shall reference the exact document revision.</t>
  </si>
  <si>
    <t xml:space="preserve">Assignment references the wrong revision; training evidence attributed to content the user never read.</t>
  </si>
  <si>
    <t xml:space="preserve">RA-084</t>
  </si>
  <si>
    <t xml:space="preserve">DC-URS-084</t>
  </si>
  <si>
    <t xml:space="preserve">Users shall have a My Reading List showing assigned documents, revision, effective date, assignment date, due date, requirement, status and progress.</t>
  </si>
  <si>
    <t xml:space="preserve">RA-085</t>
  </si>
  <si>
    <t xml:space="preserve">DC-URS-085</t>
  </si>
  <si>
    <t xml:space="preserve">Users shall be able to open the assigned controlled PDF from the Reading List.</t>
  </si>
  <si>
    <t xml:space="preserve">RA-086</t>
  </si>
  <si>
    <t xml:space="preserve">DC-URS-086</t>
  </si>
  <si>
    <t xml:space="preserve">The system shall record reading/acknowledgement timestamps and the exact revision acknowledged.</t>
  </si>
  <si>
    <t xml:space="preserve">Acknowledgement recorded without the exact revision, or with an incorrect timestamp.</t>
  </si>
  <si>
    <t xml:space="preserve">RA-087</t>
  </si>
  <si>
    <t xml:space="preserve">DC-URS-087</t>
  </si>
  <si>
    <t xml:space="preserve">Acknowledgement shall require an explicit user action when configured.</t>
  </si>
  <si>
    <t xml:space="preserve">RA-088</t>
  </si>
  <si>
    <t xml:space="preserve">DC-URS-088</t>
  </si>
  <si>
    <t xml:space="preserve">The system shall identify overdue training assignments.</t>
  </si>
  <si>
    <t xml:space="preserve">RA-089</t>
  </si>
  <si>
    <t xml:space="preserve">DC-URS-089</t>
  </si>
  <si>
    <t xml:space="preserve">Authorized users shall be able to reassign training and send reminders.</t>
  </si>
  <si>
    <t xml:space="preserve">RA-090</t>
  </si>
  <si>
    <t xml:space="preserve">DC-URS-090</t>
  </si>
  <si>
    <t xml:space="preserve">The system shall retain historical training evidence after a newer document revision is issued.</t>
  </si>
  <si>
    <t xml:space="preserve">Historical training evidence lost or overwritten when a new revision is issued.</t>
  </si>
  <si>
    <t xml:space="preserve">RA-091</t>
  </si>
  <si>
    <t xml:space="preserve">DC-URS-091</t>
  </si>
  <si>
    <t xml:space="preserve">Phase 1 shall not automatically block laboratory execution activities based on training status.</t>
  </si>
  <si>
    <t xml:space="preserve">RA-092</t>
  </si>
  <si>
    <t xml:space="preserve">DC-URS-092</t>
  </si>
  <si>
    <t xml:space="preserve">KAF</t>
  </si>
  <si>
    <t xml:space="preserve">The system shall support creation and management of Knowledge Assessment Forms (KAF).</t>
  </si>
  <si>
    <t xml:space="preserve">Assessment configured, scored or attributed incorrectly; result not traceable to the exact document revision and KAF version.</t>
  </si>
  <si>
    <t xml:space="preserve">RA-093</t>
  </si>
  <si>
    <t xml:space="preserve">DC-URS-093</t>
  </si>
  <si>
    <t xml:space="preserve">A KAF shall be version-controlled.</t>
  </si>
  <si>
    <t xml:space="preserve">RA-094</t>
  </si>
  <si>
    <t xml:space="preserve">DC-URS-094</t>
  </si>
  <si>
    <t xml:space="preserve">A KAF may be associated with a specific controlled document revision.</t>
  </si>
  <si>
    <t xml:space="preserve">RA-095</t>
  </si>
  <si>
    <t xml:space="preserve">DC-URS-095</t>
  </si>
  <si>
    <t xml:space="preserve">Authorized users shall be able to copy a KAF from a previous document revision to create a new editable KAF version.</t>
  </si>
  <si>
    <t xml:space="preserve">RA-096</t>
  </si>
  <si>
    <t xml:space="preserve">DC-URS-096</t>
  </si>
  <si>
    <t xml:space="preserve">Historical KAF versions and results shall remain unchanged when a new KAF version is created.</t>
  </si>
  <si>
    <t xml:space="preserve">Historical KAF versions or results altered when a new KAF version is created.</t>
  </si>
  <si>
    <t xml:space="preserve">RA-097</t>
  </si>
  <si>
    <t xml:space="preserve">DC-URS-097</t>
  </si>
  <si>
    <t xml:space="preserve">KAF configuration shall support passing score and maximum attempts.</t>
  </si>
  <si>
    <t xml:space="preserve">RA-098</t>
  </si>
  <si>
    <t xml:space="preserve">DC-URS-098</t>
  </si>
  <si>
    <t xml:space="preserve">KAF configuration should support open-book/closed-book mode and time limit.</t>
  </si>
  <si>
    <t xml:space="preserve">RA-099</t>
  </si>
  <si>
    <t xml:space="preserve">DC-URS-099</t>
  </si>
  <si>
    <t xml:space="preserve">KAF configuration should support question and answer-option randomization.</t>
  </si>
  <si>
    <t xml:space="preserve">RA-100</t>
  </si>
  <si>
    <t xml:space="preserve">DC-URS-100</t>
  </si>
  <si>
    <t xml:space="preserve">The system shall support Single Choice, Multiple Choice and True/False question types.</t>
  </si>
  <si>
    <t xml:space="preserve">RA-101</t>
  </si>
  <si>
    <t xml:space="preserve">DC-URS-101</t>
  </si>
  <si>
    <t xml:space="preserve">The system should support scenario-based questions.</t>
  </si>
  <si>
    <t xml:space="preserve">RA-102</t>
  </si>
  <si>
    <t xml:space="preserve">DC-URS-102</t>
  </si>
  <si>
    <t xml:space="preserve">Questions should support mapping/reference to an SOP/document section.</t>
  </si>
  <si>
    <t xml:space="preserve">RA-103</t>
  </si>
  <si>
    <t xml:space="preserve">DC-URS-103</t>
  </si>
  <si>
    <t xml:space="preserve">The user assessment screen shall show question progress and navigation.</t>
  </si>
  <si>
    <t xml:space="preserve">RA-104</t>
  </si>
  <si>
    <t xml:space="preserve">DC-URS-104</t>
  </si>
  <si>
    <t xml:space="preserve">Users shall be able to flag questions for review before submission.</t>
  </si>
  <si>
    <t xml:space="preserve">RA-105</t>
  </si>
  <si>
    <t xml:space="preserve">DC-URS-105</t>
  </si>
  <si>
    <t xml:space="preserve">Before final submission, the system shall identify unanswered and flagged questions.</t>
  </si>
  <si>
    <t xml:space="preserve">RA-106</t>
  </si>
  <si>
    <t xml:space="preserve">DC-URS-106</t>
  </si>
  <si>
    <t xml:space="preserve">The system shall automatically score objective questions.</t>
  </si>
  <si>
    <t xml:space="preserve">Objective questions scored incorrectly; pass/fail result invalid.</t>
  </si>
  <si>
    <t xml:space="preserve">RA-107</t>
  </si>
  <si>
    <t xml:space="preserve">DC-URS-107</t>
  </si>
  <si>
    <t xml:space="preserve">For each attempt, the system shall retain user, document revision, KAF version, attempt number, questions presented, responses, score, result, start time and submission/completion time.</t>
  </si>
  <si>
    <t xml:space="preserve">Attempt record incomplete; result not reconstructable or not attributable.</t>
  </si>
  <si>
    <t xml:space="preserve">RA-108</t>
  </si>
  <si>
    <t xml:space="preserve">DC-URS-108</t>
  </si>
  <si>
    <t xml:space="preserve">The system shall enforce the configured maximum number of attempts.</t>
  </si>
  <si>
    <t xml:space="preserve">Configured maximum attempts not enforced.</t>
  </si>
  <si>
    <t xml:space="preserve">RA-109</t>
  </si>
  <si>
    <t xml:space="preserve">DC-URS-109</t>
  </si>
  <si>
    <t xml:space="preserve">The system shall identify Pass and Fail results according to the configured passing score.</t>
  </si>
  <si>
    <t xml:space="preserve">RA-110</t>
  </si>
  <si>
    <t xml:space="preserve">DC-URS-110</t>
  </si>
  <si>
    <t xml:space="preserve">KAF attempts/results shall be audit-trailed.</t>
  </si>
  <si>
    <t xml:space="preserve">RA-111</t>
  </si>
  <si>
    <t xml:space="preserve">DC-URS-111</t>
  </si>
  <si>
    <t xml:space="preserve">Training Matrix</t>
  </si>
  <si>
    <t xml:space="preserve">Authorized users shall have access to a Training Matrix showing personnel against required document revisions.</t>
  </si>
  <si>
    <t xml:space="preserve">Training status displayed incorrectly, leading to an incorrect compliance conclusion.</t>
  </si>
  <si>
    <t xml:space="preserve">RA-112</t>
  </si>
  <si>
    <t xml:space="preserve">DC-URS-112</t>
  </si>
  <si>
    <t xml:space="preserve">Training states shall include Not Assigned, Assigned, Reading, Acknowledged, KAF Pending, Completed/Passed, Failed and Overdue as applicable.</t>
  </si>
  <si>
    <t xml:space="preserve">RA-113</t>
  </si>
  <si>
    <t xml:space="preserve">DC-URS-113</t>
  </si>
  <si>
    <t xml:space="preserve">The matrix shall support filtering by employee, department, role, document type, document, revision, status, requirement and due date.</t>
  </si>
  <si>
    <t xml:space="preserve">RA-114</t>
  </si>
  <si>
    <t xml:space="preserve">DC-URS-114</t>
  </si>
  <si>
    <t xml:space="preserve">Authorized users shall be able to open detailed training evidence from a matrix cell/record.</t>
  </si>
  <si>
    <t xml:space="preserve">RA-115</t>
  </si>
  <si>
    <t xml:space="preserve">DC-URS-115</t>
  </si>
  <si>
    <t xml:space="preserve">Training evidence shall include assignment, reading/acknowledgement, KAF attempt/result and completion information as applicable.</t>
  </si>
  <si>
    <t xml:space="preserve">RA-116</t>
  </si>
  <si>
    <t xml:space="preserve">DC-URS-116</t>
  </si>
  <si>
    <t xml:space="preserve">Reports &amp; KPIs</t>
  </si>
  <si>
    <t xml:space="preserve">The system shall provide Document Control dashboards and KPIs.</t>
  </si>
  <si>
    <t xml:space="preserve">Report or indicator returns incomplete or incorrect data used for compliance decisions.</t>
  </si>
  <si>
    <t xml:space="preserve">RA-117</t>
  </si>
  <si>
    <t xml:space="preserve">DC-URS-117</t>
  </si>
  <si>
    <t xml:space="preserve">KPIs shall include Effective Documents, Reviews Due, Overdue Reviews, Revisions in Progress, Awaiting Approval, Training Compliance, Overdue Training and KAF Pass Rate.</t>
  </si>
  <si>
    <t xml:space="preserve">RA-118</t>
  </si>
  <si>
    <t xml:space="preserve">DC-URS-118</t>
  </si>
  <si>
    <t xml:space="preserve">The system should provide approval cycle time and technical review time metrics.</t>
  </si>
  <si>
    <t xml:space="preserve">RA-119</t>
  </si>
  <si>
    <t xml:space="preserve">DC-URS-119</t>
  </si>
  <si>
    <t xml:space="preserve">KPI cards/alerts should allow drill-down to underlying records.</t>
  </si>
  <si>
    <t xml:space="preserve">PQ/UAT</t>
  </si>
  <si>
    <t xml:space="preserve">RA-120</t>
  </si>
  <si>
    <t xml:space="preserve">DC-URS-120</t>
  </si>
  <si>
    <t xml:space="preserve">The system shall provide a Master Document Register report.</t>
  </si>
  <si>
    <t xml:space="preserve">RA-121</t>
  </si>
  <si>
    <t xml:space="preserve">DC-URS-121</t>
  </si>
  <si>
    <t xml:space="preserve">The system shall provide Effective Document List, Revision History, Periodic Review Status, Training Compliance, Individual Training History, KAF Results, Overdue Assignments, Document Approval History and Audit Trail reports.</t>
  </si>
  <si>
    <t xml:space="preserve">RA-122</t>
  </si>
  <si>
    <t xml:space="preserve">DC-URS-122</t>
  </si>
  <si>
    <t xml:space="preserve">Authorized users shall be able to export applicable reports according to permissions.</t>
  </si>
  <si>
    <t xml:space="preserve">RA-123</t>
  </si>
  <si>
    <t xml:space="preserve">DC-URS-123</t>
  </si>
  <si>
    <t xml:space="preserve">Audit Trail</t>
  </si>
  <si>
    <t xml:space="preserve">The system shall maintain an audit trail for controlled Document Control activities.</t>
  </si>
  <si>
    <t xml:space="preserve">Controlled action occurs with no audit record created.</t>
  </si>
  <si>
    <t xml:space="preserve">RA-124</t>
  </si>
  <si>
    <t xml:space="preserve">DC-URS-124</t>
  </si>
  <si>
    <t xml:space="preserve">Audit events shall record date/time, user, action, record type, affected document/revision and event identifier.</t>
  </si>
  <si>
    <t xml:space="preserve">Controlled action not captured, captured incompletely, or alterable — loss of attributability and traceability.</t>
  </si>
  <si>
    <t xml:space="preserve">RA-125</t>
  </si>
  <si>
    <t xml:space="preserve">DC-URS-125</t>
  </si>
  <si>
    <t xml:space="preserve">Where applicable, audit events shall record previous value and new value.</t>
  </si>
  <si>
    <t xml:space="preserve">RA-126</t>
  </si>
  <si>
    <t xml:space="preserve">DC-URS-126</t>
  </si>
  <si>
    <t xml:space="preserve">Where applicable, audit events shall retain reason/comment and electronic-signature context.</t>
  </si>
  <si>
    <t xml:space="preserve">RA-127</t>
  </si>
  <si>
    <t xml:space="preserve">DC-URS-127</t>
  </si>
  <si>
    <t xml:space="preserve">Audit records shall be read-only through the normal application.</t>
  </si>
  <si>
    <t xml:space="preserve">RA-128</t>
  </si>
  <si>
    <t xml:space="preserve">DC-URS-128</t>
  </si>
  <si>
    <t xml:space="preserve">Audit records shall not be deletable through normal application functions.</t>
  </si>
  <si>
    <t xml:space="preserve">RA-129</t>
  </si>
  <si>
    <t xml:space="preserve">DC-URS-129</t>
  </si>
  <si>
    <t xml:space="preserve">Authorized users shall be able to search/filter the global audit trail by date range, user, document/company code, MicroLIMS ID, revision, record type and action category.</t>
  </si>
  <si>
    <t xml:space="preserve">RA-130</t>
  </si>
  <si>
    <t xml:space="preserve">DC-URS-130</t>
  </si>
  <si>
    <t xml:space="preserve">Each Document Master/revision shall provide access to its record-specific audit history.</t>
  </si>
  <si>
    <t xml:space="preserve">RA-131</t>
  </si>
  <si>
    <t xml:space="preserve">DC-URS-131</t>
  </si>
  <si>
    <t xml:space="preserve">The system shall audit document creation/import, metadata changes, file changes, revisions, submissions, review actions, approvals, effective/superseded transitions, periodic reviews, training, acknowledgements, KAF, configuration and relevant security/administrative actions.</t>
  </si>
  <si>
    <t xml:space="preserve">Audit record alterable or deletable through the application.</t>
  </si>
  <si>
    <t xml:space="preserve">RA-132</t>
  </si>
  <si>
    <t xml:space="preserve">DC-URS-132</t>
  </si>
  <si>
    <t xml:space="preserve">System-generated automatic status transitions shall identify the system context/source in the audit trail.</t>
  </si>
  <si>
    <t xml:space="preserve">Audit trail not retained for the required period or not retrievable.</t>
  </si>
  <si>
    <t xml:space="preserve">RA-133</t>
  </si>
  <si>
    <t xml:space="preserve">DC-URS-133</t>
  </si>
  <si>
    <t xml:space="preserve">Configuration</t>
  </si>
  <si>
    <t xml:space="preserve">Authorized administrators shall be able to configure document types.</t>
  </si>
  <si>
    <t xml:space="preserve">Configuration set incorrectly or changed without control, altering validated system behaviour.</t>
  </si>
  <si>
    <t xml:space="preserve">RA-134</t>
  </si>
  <si>
    <t xml:space="preserve">DC-URS-134</t>
  </si>
  <si>
    <t xml:space="preserve">Authorized administrators shall be able to configure departments/sections.</t>
  </si>
  <si>
    <t xml:space="preserve">RA-135</t>
  </si>
  <si>
    <t xml:space="preserve">DC-URS-135</t>
  </si>
  <si>
    <t xml:space="preserve">Authorized administrators shall be able to configure default review cycles.</t>
  </si>
  <si>
    <t xml:space="preserve">RA-136</t>
  </si>
  <si>
    <t xml:space="preserve">DC-URS-136</t>
  </si>
  <si>
    <t xml:space="preserve">Authorized administrators shall be able to configure the MicroLIMS Document ID prefix/numbering pattern.</t>
  </si>
  <si>
    <t xml:space="preserve">RA-137</t>
  </si>
  <si>
    <t xml:space="preserve">DC-URS-137</t>
  </si>
  <si>
    <t xml:space="preserve">The company document code shall not be automatically overwritten by the MicroLIMS numbering configuration.</t>
  </si>
  <si>
    <t xml:space="preserve">RA-138</t>
  </si>
  <si>
    <t xml:space="preserve">DC-URS-138</t>
  </si>
  <si>
    <t xml:space="preserve">Authorized administrators shall be able to configure workflow templates and applicable reviewer/approver roles.</t>
  </si>
  <si>
    <t xml:space="preserve">RA-139</t>
  </si>
  <si>
    <t xml:space="preserve">DC-URS-139</t>
  </si>
  <si>
    <t xml:space="preserve">Authorized administrators shall be able to configure training defaults and KAF defaults.</t>
  </si>
  <si>
    <t xml:space="preserve">RA-140</t>
  </si>
  <si>
    <t xml:space="preserve">DC-URS-140</t>
  </si>
  <si>
    <t xml:space="preserve">Authorized administrators shall be able to configure notifications and escalation intervals.</t>
  </si>
  <si>
    <t xml:space="preserve">RA-141</t>
  </si>
  <si>
    <t xml:space="preserve">DC-URS-141</t>
  </si>
  <si>
    <t xml:space="preserve">Authorized administrators shall be able to configure controlled-copy behavior and import/migration settings.</t>
  </si>
  <si>
    <t xml:space="preserve">RA-142</t>
  </si>
  <si>
    <t xml:space="preserve">DC-URS-142</t>
  </si>
  <si>
    <t xml:space="preserve">Configuration changes shall be audit-trailed.</t>
  </si>
  <si>
    <t xml:space="preserve">RA-143</t>
  </si>
  <si>
    <t xml:space="preserve">DC-URS-143</t>
  </si>
  <si>
    <t xml:space="preserve">Security</t>
  </si>
  <si>
    <t xml:space="preserve">The system shall use role-based access control for Document Control functions.</t>
  </si>
  <si>
    <t xml:space="preserve">Unauthorised user performs a controlled action; action attributed to the wrong identity.</t>
  </si>
  <si>
    <t xml:space="preserve">RA-144</t>
  </si>
  <si>
    <t xml:space="preserve">DC-URS-144</t>
  </si>
  <si>
    <t xml:space="preserve">Permissions shall distinguish at least administration, document control, authoring, technical review, approval, reading/training, compliance viewing and audit viewing functions.</t>
  </si>
  <si>
    <t xml:space="preserve">RA-145</t>
  </si>
  <si>
    <t xml:space="preserve">DC-URS-145</t>
  </si>
  <si>
    <t xml:space="preserve">The system shall require authenticated user identity for controlled actions.</t>
  </si>
  <si>
    <t xml:space="preserve">RA-146</t>
  </si>
  <si>
    <t xml:space="preserve">DC-URS-146</t>
  </si>
  <si>
    <t xml:space="preserve">The system shall prevent a user from performing actions for which the user lacks permission.</t>
  </si>
  <si>
    <t xml:space="preserve">RA-147</t>
  </si>
  <si>
    <t xml:space="preserve">DC-URS-147</t>
  </si>
  <si>
    <t xml:space="preserve">Electronic-signature actions shall require re-authentication or equivalent validated signature confirmation according to approved system design.</t>
  </si>
  <si>
    <t xml:space="preserve">Electronic signature applied without re-authentication of the signer.</t>
  </si>
  <si>
    <t xml:space="preserve">RA-148</t>
  </si>
  <si>
    <t xml:space="preserve">DC-URS-148</t>
  </si>
  <si>
    <t xml:space="preserve">The system shall associate controlled actions with the authenticated user and date/time.</t>
  </si>
  <si>
    <t xml:space="preserve">RA-149</t>
  </si>
  <si>
    <t xml:space="preserve">DC-URS-149</t>
  </si>
  <si>
    <t xml:space="preserve">Data Integrity</t>
  </si>
  <si>
    <t xml:space="preserve">The system shall preserve historical revisions, approvals, periodic reviews, training evidence and KAF results as enduring records.</t>
  </si>
  <si>
    <t xml:space="preserve">Record altered, lost or no longer traceable to its originating revision and user.</t>
  </si>
  <si>
    <t xml:space="preserve">RA-150</t>
  </si>
  <si>
    <t xml:space="preserve">DC-URS-150</t>
  </si>
  <si>
    <t xml:space="preserve">The system shall maintain traceability between Document Master, revision, controlled file, workflow records, training assignments and KAF records.</t>
  </si>
  <si>
    <t xml:space="preserve">RA-151</t>
  </si>
  <si>
    <t xml:space="preserve">DC-URS-151</t>
  </si>
  <si>
    <t xml:space="preserve">Date/time stamps shall be generated consistently by the system and stored in a controlled manner.</t>
  </si>
  <si>
    <t xml:space="preserve">Inconsistent or user-influenced timestamps; contemporaneity of records cannot be demonstrated.</t>
  </si>
  <si>
    <t xml:space="preserve">RA-152</t>
  </si>
  <si>
    <t xml:space="preserve">DC-URS-152</t>
  </si>
  <si>
    <t xml:space="preserve">The system shall not permit normal users to alter audit trail records.</t>
  </si>
  <si>
    <t xml:space="preserve">Normal user able to alter audit trail records.</t>
  </si>
  <si>
    <t xml:space="preserve">RA-153</t>
  </si>
  <si>
    <t xml:space="preserve">DC-URS-153</t>
  </si>
  <si>
    <t xml:space="preserve">The system shall identify the exact revision associated with every approval, acknowledgement, training completion and KAF attempt.</t>
  </si>
  <si>
    <t xml:space="preserve">Approval, acknowledgement or assessment record not linked to the exact revision.</t>
  </si>
  <si>
    <t xml:space="preserve">RA-154</t>
  </si>
  <si>
    <t xml:space="preserve">DC-URS-154</t>
  </si>
  <si>
    <t xml:space="preserve">The system shall provide records in a form that is legible and retrievable for authorized review.</t>
  </si>
  <si>
    <t xml:space="preserve">RA-155</t>
  </si>
  <si>
    <t xml:space="preserve">DC-URS-155</t>
  </si>
  <si>
    <t xml:space="preserve">The system shall support backup/restore and retention through the validated MicroLIMS infrastructure.</t>
  </si>
  <si>
    <t xml:space="preserve">Backup or restore fails; controlled records unrecoverable.</t>
  </si>
  <si>
    <t xml:space="preserve">INS</t>
  </si>
  <si>
    <t xml:space="preserve">RA-156</t>
  </si>
  <si>
    <t xml:space="preserve">DC-URS-156</t>
  </si>
  <si>
    <t xml:space="preserve">Usability</t>
  </si>
  <si>
    <t xml:space="preserve">The interface shall clearly display document status, revision and effective-date information.</t>
  </si>
  <si>
    <t xml:space="preserve">No</t>
  </si>
  <si>
    <t xml:space="preserve">Information presented unclearly, increasing the likelihood of user error.</t>
  </si>
  <si>
    <t xml:space="preserve">RA-157</t>
  </si>
  <si>
    <t xml:space="preserve">DC-URS-157</t>
  </si>
  <si>
    <t xml:space="preserve">Validation/readiness indicators should identify missing mandatory information before submission.</t>
  </si>
  <si>
    <t xml:space="preserve">RA-158</t>
  </si>
  <si>
    <t xml:space="preserve">DC-URS-158</t>
  </si>
  <si>
    <t xml:space="preserve">The system should provide notifications for assigned reviews, approvals, reading/training and overdue activities.</t>
  </si>
  <si>
    <t xml:space="preserve">RA-159</t>
  </si>
  <si>
    <t xml:space="preserve">DC-URS-159</t>
  </si>
  <si>
    <t xml:space="preserve">Performance</t>
  </si>
  <si>
    <t xml:space="preserve">Common Document Library searches and record opening should complete within an acceptable validated response time under expected load.</t>
  </si>
  <si>
    <t xml:space="preserve">Slow response degrades usability; no direct record impact.</t>
  </si>
  <si>
    <t xml:space="preserve">RA-160</t>
  </si>
  <si>
    <t xml:space="preserve">DC-URS-160</t>
  </si>
  <si>
    <t xml:space="preserve">Availability</t>
  </si>
  <si>
    <t xml:space="preserve">The module shall use the established MicroLIMS application availability, backup, recovery and access infrastructure.</t>
  </si>
  <si>
    <t xml:space="preserve">System or records unavailable when required for review or inspection.</t>
  </si>
  <si>
    <t xml:space="preserve">RA-161</t>
  </si>
  <si>
    <t xml:space="preserve">DC-URS-161</t>
  </si>
  <si>
    <t xml:space="preserve">Scope Boundary</t>
  </si>
  <si>
    <t xml:space="preserve">Phase 1 shall not automatically inject controlled documents into laboratory testing workspaces.</t>
  </si>
  <si>
    <t xml:space="preserve">Phase 1 module unintentionally influences laboratory execution outside the validated scope.</t>
  </si>
  <si>
    <t xml:space="preserve">RA-162</t>
  </si>
  <si>
    <t xml:space="preserve">DC-URS-162</t>
  </si>
  <si>
    <t xml:space="preserve">Phase 1 shall not automatically block laboratory execution because an analyst has not completed document training.</t>
  </si>
  <si>
    <t xml:space="preserve">RA-163</t>
  </si>
  <si>
    <t xml:space="preserve">DC-URS-163</t>
  </si>
  <si>
    <t xml:space="preserve">Future workspace integration shall be treated as a separate controlled project/change because it affects multiple MicroLIMS modules.</t>
  </si>
  <si>
    <t xml:space="preserve">RA-164</t>
  </si>
  <si>
    <t xml:space="preserve">DC-URS-164</t>
  </si>
  <si>
    <t xml:space="preserve">Segregation of Duties</t>
  </si>
  <si>
    <t xml:space="preserve">The author of a document revision shall not be able to perform the technical review of that same revision.</t>
  </si>
  <si>
    <t xml:space="preserve">Same individual authors, reviews and approves a revision; independence of review and approval is lost and the defect is not visible in the record.</t>
  </si>
  <si>
    <t xml:space="preserve">RA-165</t>
  </si>
  <si>
    <t xml:space="preserve">DC-URS-165</t>
  </si>
  <si>
    <t xml:space="preserve">The technical reviewer of a document revision shall not be able to perform the final approval of that same revision.</t>
  </si>
  <si>
    <t xml:space="preserve">RA-166</t>
  </si>
  <si>
    <t xml:space="preserve">DC-URS-166</t>
  </si>
  <si>
    <t xml:space="preserve">Segregation-of-duties restrictions shall be enforced by the system and shall not be bypassable by any role, including System Administrator.</t>
  </si>
  <si>
    <t xml:space="preserve">System Administrator able to bypass segregation of duties; independence of approval defeated with no visible indication.</t>
  </si>
  <si>
    <t xml:space="preserve">RA-167</t>
  </si>
  <si>
    <t xml:space="preserve">DC-URS-167</t>
  </si>
  <si>
    <t xml:space="preserve">Where a user holds more than one functional role, the system shall prevent that user from performing conflicting controlled actions on the same document revision.</t>
  </si>
  <si>
    <t xml:space="preserve">RA-168</t>
  </si>
  <si>
    <t xml:space="preserve">DC-URS-168</t>
  </si>
  <si>
    <t xml:space="preserve">Each Document Master shall identify its Document Owner, designated Technical Reviewer(s) and designated Approver(s), and controlled workflow authority shall be derived from these assignments in addition to role permissions.</t>
  </si>
  <si>
    <t xml:space="preserve">RA-169</t>
  </si>
  <si>
    <t xml:space="preserve">DC-URS-169</t>
  </si>
  <si>
    <t xml:space="preserve">An attempt to perform a controlled action that violates segregation of duties shall be rejected and recorded in the audit trail.</t>
  </si>
  <si>
    <t xml:space="preserve">RA-170</t>
  </si>
  <si>
    <t xml:space="preserve">DC-URS-170</t>
  </si>
  <si>
    <t xml:space="preserve">Training Cascade</t>
  </si>
  <si>
    <t xml:space="preserve">When a new revision becomes effective, the system shall automatically create training assignments for the personnel population that was assigned the previous effective revision, where configured for the document or document type.</t>
  </si>
  <si>
    <t xml:space="preserve">Re-training not issued when a revision becomes effective; personnel remain qualified only on superseded content.</t>
  </si>
  <si>
    <t xml:space="preserve">RA-171</t>
  </si>
  <si>
    <t xml:space="preserve">DC-URS-171</t>
  </si>
  <si>
    <t xml:space="preserve">The requirement for re-reading and/or re-assessment on a new revision shall be configurable at document type level with override at document/revision level.</t>
  </si>
  <si>
    <t xml:space="preserve">Personnel continue working to a superseded revision because re-training was not issued, or historical evidence is lost or overwritten.</t>
  </si>
  <si>
    <t xml:space="preserve">RA-172</t>
  </si>
  <si>
    <t xml:space="preserve">DC-URS-172</t>
  </si>
  <si>
    <t xml:space="preserve">Incomplete training assignments against a revision that becomes superseded shall be closed with a distinct terminal status indicating non-completion, and shall be retained as records rather than deleted.</t>
  </si>
  <si>
    <t xml:space="preserve">Incomplete assignments deleted rather than closed and retained; evidence of non-completion lost.</t>
  </si>
  <si>
    <t xml:space="preserve">RA-173</t>
  </si>
  <si>
    <t xml:space="preserve">DC-URS-173</t>
  </si>
  <si>
    <t xml:space="preserve">Completed training and assessment records against a superseded revision shall remain unchanged and retrievable.</t>
  </si>
  <si>
    <t xml:space="preserve">RA-174</t>
  </si>
  <si>
    <t xml:space="preserve">DC-URS-174</t>
  </si>
  <si>
    <t xml:space="preserve">The system shall identify personnel who are trained on a superseded revision but have not yet completed training on the current effective revision.</t>
  </si>
  <si>
    <t xml:space="preserve">RA-175</t>
  </si>
  <si>
    <t xml:space="preserve">DC-URS-175</t>
  </si>
  <si>
    <t xml:space="preserve">When a document becomes Obsolete, open training assignments for that document shall be cancelled with a recorded reason, and existing completed evidence shall be retained.</t>
  </si>
  <si>
    <t xml:space="preserve">RA-176</t>
  </si>
  <si>
    <t xml:space="preserve">DC-URS-176</t>
  </si>
  <si>
    <t xml:space="preserve">Where a Knowledge Assessment is failed and re-training is configured, the system shall re-issue the assignment in accordance with the configured re-training rule and retain all prior attempts.</t>
  </si>
  <si>
    <t xml:space="preserve">RA-177</t>
  </si>
  <si>
    <t xml:space="preserve">DC-URS-177</t>
  </si>
  <si>
    <t xml:space="preserve">Automatic System Actions</t>
  </si>
  <si>
    <t xml:space="preserve">The system shall automatically transition an approved Future Effective revision to Effective on its configured effective date without user intervention.</t>
  </si>
  <si>
    <t xml:space="preserve">Date-driven transition does not execute, executes at the wrong time, or executes without traceable attribution — silent failure with no user prompt.</t>
  </si>
  <si>
    <t xml:space="preserve">RA-178</t>
  </si>
  <si>
    <t xml:space="preserve">DC-URS-178</t>
  </si>
  <si>
    <t xml:space="preserve">On automatic activation of a new effective revision, the system shall automatically set the previous effective revision to Superseded.</t>
  </si>
  <si>
    <t xml:space="preserve">RA-179</t>
  </si>
  <si>
    <t xml:space="preserve">DC-URS-179</t>
  </si>
  <si>
    <t xml:space="preserve">The system shall automatically create Periodic Review tasks and issue configured advance notifications based on the Review Due Date.</t>
  </si>
  <si>
    <t xml:space="preserve">RA-180</t>
  </si>
  <si>
    <t xml:space="preserve">DC-URS-180</t>
  </si>
  <si>
    <t xml:space="preserve">Automatic system actions shall be recorded in the audit trail and attributed to the system rather than to a named user, with the triggering rule identified.</t>
  </si>
  <si>
    <t xml:space="preserve">RA-181</t>
  </si>
  <si>
    <t xml:space="preserve">DC-URS-181</t>
  </si>
  <si>
    <t xml:space="preserve">If a scheduled automatic action does not execute at its due time due to system unavailability, the system shall execute the outstanding action on the next successful run, record the actual execution time, and identify the action as a delayed execution.</t>
  </si>
  <si>
    <t xml:space="preserve">Scheduled transition missed during downtime and never executed; document lifecycle silently stalls.</t>
  </si>
  <si>
    <t xml:space="preserve">RA-182</t>
  </si>
  <si>
    <t xml:space="preserve">DC-URS-182</t>
  </si>
  <si>
    <t xml:space="preserve">All date-driven controlled transitions shall be evaluated against a single defined system time zone, and that time zone shall be documented and configurable only by authorized administrators.</t>
  </si>
  <si>
    <t xml:space="preserve">Time zone inconsistency causes a transition to occur on the wrong calendar day.</t>
  </si>
  <si>
    <t xml:space="preserve">RA-183</t>
  </si>
  <si>
    <t xml:space="preserve">DC-URS-183</t>
  </si>
  <si>
    <t xml:space="preserve">Failure of a scheduled automatic process shall be recorded and notified to authorized administrators.</t>
  </si>
  <si>
    <t xml:space="preserve">RA-184</t>
  </si>
  <si>
    <t xml:space="preserve">DC-URS-184</t>
  </si>
  <si>
    <t xml:space="preserve">Record Cancellation</t>
  </si>
  <si>
    <t xml:space="preserve">No controlled document record, revision, workflow record, training record, assessment record or audit record shall be permanently deleted through the application by any user.</t>
  </si>
  <si>
    <t xml:space="preserve">Controlled record permanently deleted; loss of a GxP record with no recovery route.</t>
  </si>
  <si>
    <t xml:space="preserve">RA-185</t>
  </si>
  <si>
    <t xml:space="preserve">DC-URS-185</t>
  </si>
  <si>
    <t xml:space="preserve">A draft revision that is no longer required shall be cancellable with a mandatory recorded reason, and shall be retained in read-only form.</t>
  </si>
  <si>
    <t xml:space="preserve">Controlled record deleted or removed without reason, authorisation or audit evidence.</t>
  </si>
  <si>
    <t xml:space="preserve">RA-186</t>
  </si>
  <si>
    <t xml:space="preserve">DC-URS-186</t>
  </si>
  <si>
    <t xml:space="preserve">A Document Master registered in error shall be voidable with a mandatory recorded reason and appropriate authorization; the assigned MicroLIMS Document ID shall not be reused.</t>
  </si>
  <si>
    <t xml:space="preserve">RA-187</t>
  </si>
  <si>
    <t xml:space="preserve">DC-URS-187</t>
  </si>
  <si>
    <t xml:space="preserve">Cancelled and voided records shall be excluded from the active document register and active work lists, while remaining retrievable by authorized users.</t>
  </si>
  <si>
    <t xml:space="preserve">RA-188</t>
  </si>
  <si>
    <t xml:space="preserve">DC-URS-188</t>
  </si>
  <si>
    <t xml:space="preserve">Cancellation and voiding actions shall record the performing user, date/time and reason, and shall be audit-trailed.</t>
  </si>
  <si>
    <t xml:space="preserve">RA-189</t>
  </si>
  <si>
    <t xml:space="preserve">DC-URS-189</t>
  </si>
  <si>
    <t xml:space="preserve">Reading Evidence</t>
  </si>
  <si>
    <t xml:space="preserve">Explicit user acknowledgement, and where applicable a passed Knowledge Assessment, shall constitute the controlled evidence of reading completion.</t>
  </si>
  <si>
    <t xml:space="preserve">Training completion recorded without valid evidence, or acknowledgement recorded against the wrong revision.</t>
  </si>
  <si>
    <t xml:space="preserve">RA-190</t>
  </si>
  <si>
    <t xml:space="preserve">DC-URS-190</t>
  </si>
  <si>
    <t xml:space="preserve">Any reading progress indicator presented to the user shall be informational only and shall not be used as an acceptance criterion for training completion. Where the organization requires a progress-based control, it shall be defined as an explicit configured acceptance criterion and validated as such.</t>
  </si>
  <si>
    <t xml:space="preserve">Progress metric used implicitly as an acceptance criterion without validation, or treated as evidence in an inspection.</t>
  </si>
  <si>
    <t xml:space="preserve">RA-191</t>
  </si>
  <si>
    <t xml:space="preserve">DC-URS-191</t>
  </si>
  <si>
    <t xml:space="preserve">The acknowledgement statement text shall be configurable and the exact statement text presented shall be retained with the acknowledgement record.</t>
  </si>
  <si>
    <t xml:space="preserve">RA-192</t>
  </si>
  <si>
    <t xml:space="preserve">DC-URS-192</t>
  </si>
  <si>
    <t xml:space="preserve">The system shall not permit acknowledgement of a document revision other than the revision assigned and displayed to the user.</t>
  </si>
  <si>
    <t xml:space="preserve">RA-193</t>
  </si>
  <si>
    <t xml:space="preserve">DC-URS-193</t>
  </si>
  <si>
    <t xml:space="preserve">Every Document Master, revision and training/assessment record shall carry an origin indicator distinguishing records created within MicroLIMS from records migrated from legacy systems or paper.</t>
  </si>
  <si>
    <t xml:space="preserve">RA-194</t>
  </si>
  <si>
    <t xml:space="preserve">DC-URS-194</t>
  </si>
  <si>
    <t xml:space="preserve">Migrated records shall retain a reference to the migration batch identifier, source register/file reference, migration date and the user who performed the migration.</t>
  </si>
  <si>
    <t xml:space="preserve">RA-195</t>
  </si>
  <si>
    <t xml:space="preserve">DC-URS-195</t>
  </si>
  <si>
    <t xml:space="preserve">On completion of a migration run, the system shall produce a reconciliation report identifying records submitted, imported, imported with warnings, rejected, and the file-matching outcome for each record.</t>
  </si>
  <si>
    <t xml:space="preserve">Migration completes without reconciliation; unnoticed record loss or mismatch between legacy register and MicroLIMS.</t>
  </si>
  <si>
    <t xml:space="preserve">RA-196</t>
  </si>
  <si>
    <t xml:space="preserve">DC-URS-196</t>
  </si>
  <si>
    <t xml:space="preserve">Migration reconciliation reports shall be retained and retrievable as data-migration verification evidence.</t>
  </si>
  <si>
    <t xml:space="preserve">RA-197</t>
  </si>
  <si>
    <t xml:space="preserve">DC-URS-197</t>
  </si>
  <si>
    <t xml:space="preserve">Migrated historical training and assessment evidence shall be clearly identified as legacy evidence and shall not be presented as having been generated within MicroLIMS.</t>
  </si>
  <si>
    <t xml:space="preserve">RA-198</t>
  </si>
  <si>
    <t xml:space="preserve">DC-URS-198</t>
  </si>
  <si>
    <t xml:space="preserve">The system shall generate and store a cryptographic checksum for each controlled file at the point of upload.</t>
  </si>
  <si>
    <t xml:space="preserve">No integrity control on stored files; corruption or substitution undetectable.</t>
  </si>
  <si>
    <t xml:space="preserve">RA-199</t>
  </si>
  <si>
    <t xml:space="preserve">DC-URS-199</t>
  </si>
  <si>
    <t xml:space="preserve">The system shall verify the stored checksum when a controlled file is retrieved and shall prevent or flag delivery of a file whose integrity cannot be confirmed.</t>
  </si>
  <si>
    <t xml:space="preserve">Corrupted or substituted file delivered to the user as a controlled copy.</t>
  </si>
  <si>
    <t xml:space="preserve">RA-200</t>
  </si>
  <si>
    <t xml:space="preserve">DC-URS-200</t>
  </si>
  <si>
    <t xml:space="preserve">File upload, checksum generation and any detected integrity mismatch shall be recorded in the audit trail.</t>
  </si>
  <si>
    <t xml:space="preserve">RA-201</t>
  </si>
  <si>
    <t xml:space="preserve">DC-URS-201</t>
  </si>
  <si>
    <t xml:space="preserve">Integration Readiness</t>
  </si>
  <si>
    <t xml:space="preserve">The system shall provide a controlled internal capability to return the current effective revision of a specified controlled document.</t>
  </si>
  <si>
    <t xml:space="preserve">Interface returns an incorrect effective revision or qualification status, or is consumed outside the approved Phase 1 scope.</t>
  </si>
  <si>
    <t xml:space="preserve">RA-202</t>
  </si>
  <si>
    <t xml:space="preserve">DC-URS-202</t>
  </si>
  <si>
    <t xml:space="preserve">The system shall provide a controlled internal capability to return the training and assessment status of a specified user for a specified controlled document.</t>
  </si>
  <si>
    <t xml:space="preserve">RA-203</t>
  </si>
  <si>
    <t xml:space="preserve">DC-URS-203</t>
  </si>
  <si>
    <t xml:space="preserve">In Phase 1 these capabilities shall not be invoked by, and shall not influence, laboratory execution workflows; their use shall be introduced only through the separate future controlled project.</t>
  </si>
  <si>
    <t xml:space="preserve">Lookup tables — do not edit. Drive the calculated columns on the Risk Assessment sheet.</t>
  </si>
  <si>
    <t xml:space="preserve">Severity|Probability</t>
  </si>
  <si>
    <t xml:space="preserve">Class|Detectability</t>
  </si>
  <si>
    <t xml:space="preserve">Control Strategy</t>
  </si>
  <si>
    <t xml:space="preserve">High|High</t>
  </si>
  <si>
    <t xml:space="preserve">3|Low</t>
  </si>
  <si>
    <t xml:space="preserve">Medium (to be confirmed after test execution)</t>
  </si>
  <si>
    <t xml:space="preserve">High|Medium</t>
  </si>
  <si>
    <t xml:space="preserve">3|Medium</t>
  </si>
  <si>
    <t xml:space="preserve">High|Low</t>
  </si>
  <si>
    <t xml:space="preserve">3|High</t>
  </si>
  <si>
    <t xml:space="preserve">Medium|High</t>
  </si>
  <si>
    <t xml:space="preserve">2|Low</t>
  </si>
  <si>
    <t xml:space="preserve">Medium|Medium</t>
  </si>
  <si>
    <t xml:space="preserve">2|Medium</t>
  </si>
  <si>
    <t xml:space="preserve">Medium|Low</t>
  </si>
  <si>
    <t xml:space="preserve">2|High</t>
  </si>
  <si>
    <t xml:space="preserve">Low|High</t>
  </si>
  <si>
    <t xml:space="preserve">1|Low</t>
  </si>
  <si>
    <t xml:space="preserve">Low|Medium</t>
  </si>
  <si>
    <t xml:space="preserve">1|Medium</t>
  </si>
  <si>
    <t xml:space="preserve">Low|Low</t>
  </si>
  <si>
    <t xml:space="preserve">1|High</t>
  </si>
  <si>
    <t xml:space="preserve">Risk Assessment Summary</t>
  </si>
  <si>
    <t xml:space="preserve">All figures are formula-driven from the Risk Assessment sheet and update when ratings are amended.</t>
  </si>
  <si>
    <t xml:space="preserve">Requirements by Risk Priority</t>
  </si>
  <si>
    <t xml:space="preserve">Count</t>
  </si>
  <si>
    <t xml:space="preserve">% of Baseline</t>
  </si>
  <si>
    <t xml:space="preserve">Total</t>
  </si>
  <si>
    <t xml:space="preserve">Requirements by Category and Risk Priority</t>
  </si>
  <si>
    <t xml:space="preserve">Estimated Qualification Effort</t>
  </si>
  <si>
    <t xml:space="preserve">Requirements</t>
  </si>
  <si>
    <t xml:space="preserve">Indicative OQ/PQ Test Cases</t>
  </si>
  <si>
    <t xml:space="preserve">Basis</t>
  </si>
  <si>
    <t xml:space="preserve">Individual OQ — positive and negative</t>
  </si>
  <si>
    <t xml:space="preserve">Each high-risk requirement requires at least one positive and one negative test case.</t>
  </si>
  <si>
    <t xml:space="preserve">Individual OQ — positive</t>
  </si>
  <si>
    <t xml:space="preserve">One test case per requirement.</t>
  </si>
  <si>
    <t xml:space="preserve">Grouped OQ / PQ-UAT</t>
  </si>
  <si>
    <t xml:space="preserve">Approximately four low-risk requirements verified per grouped scenario.</t>
  </si>
  <si>
    <t xml:space="preserve">Note: test case counts are indicative planning figures only and are superseded by the approved OQ/PQ protocols.</t>
  </si>
</sst>
</file>

<file path=xl/styles.xml><?xml version="1.0" encoding="utf-8"?>
<styleSheet xmlns="http://schemas.openxmlformats.org/spreadsheetml/2006/main">
  <numFmts count="2">
    <numFmt numFmtId="164" formatCode="General"/>
    <numFmt numFmtId="165" formatCode="0.0%"/>
  </numFmts>
  <fonts count="16">
    <font>
      <sz val="11"/>
      <color theme="1"/>
      <name val="Calibri"/>
      <family val="2"/>
      <charset val="1"/>
    </font>
    <font>
      <sz val="10"/>
      <name val="Arial"/>
      <family val="0"/>
    </font>
    <font>
      <sz val="10"/>
      <name val="Arial"/>
      <family val="0"/>
    </font>
    <font>
      <sz val="10"/>
      <name val="Arial"/>
      <family val="0"/>
    </font>
    <font>
      <b val="true"/>
      <sz val="20"/>
      <color rgb="FF1F3864"/>
      <name val="Arial"/>
      <family val="0"/>
      <charset val="1"/>
    </font>
    <font>
      <b val="true"/>
      <sz val="13"/>
      <name val="Arial"/>
      <family val="0"/>
      <charset val="1"/>
    </font>
    <font>
      <b val="true"/>
      <sz val="10"/>
      <name val="Arial"/>
      <family val="0"/>
      <charset val="1"/>
    </font>
    <font>
      <sz val="10"/>
      <name val="Arial"/>
      <family val="0"/>
      <charset val="1"/>
    </font>
    <font>
      <b val="true"/>
      <sz val="11"/>
      <color rgb="FFC00000"/>
      <name val="Arial"/>
      <family val="0"/>
      <charset val="1"/>
    </font>
    <font>
      <b val="true"/>
      <sz val="11"/>
      <color rgb="FF1F3864"/>
      <name val="Arial"/>
      <family val="0"/>
      <charset val="1"/>
    </font>
    <font>
      <b val="true"/>
      <sz val="10"/>
      <color rgb="FFFFFFFF"/>
      <name val="Arial"/>
      <family val="0"/>
      <charset val="1"/>
    </font>
    <font>
      <b val="true"/>
      <sz val="14"/>
      <color rgb="FF1F3864"/>
      <name val="Arial"/>
      <family val="0"/>
      <charset val="1"/>
    </font>
    <font>
      <i val="true"/>
      <sz val="10"/>
      <name val="Arial"/>
      <family val="0"/>
      <charset val="1"/>
    </font>
    <font>
      <b val="true"/>
      <sz val="12"/>
      <color rgb="FF1F3864"/>
      <name val="Arial"/>
      <family val="0"/>
      <charset val="1"/>
    </font>
    <font>
      <sz val="9"/>
      <name val="Arial"/>
      <family val="0"/>
      <charset val="1"/>
    </font>
    <font>
      <b val="true"/>
      <sz val="10"/>
      <color rgb="FFC00000"/>
      <name val="Arial"/>
      <family val="0"/>
      <charset val="1"/>
    </font>
  </fonts>
  <fills count="4">
    <fill>
      <patternFill patternType="none"/>
    </fill>
    <fill>
      <patternFill patternType="gray125"/>
    </fill>
    <fill>
      <patternFill patternType="solid">
        <fgColor rgb="FFD9E2F3"/>
        <bgColor rgb="FFC6E0B4"/>
      </patternFill>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3"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center" vertical="top" textRotation="0" wrapText="true" indent="0" shrinkToFit="false"/>
      <protection locked="true" hidden="false"/>
    </xf>
    <xf numFmtId="164" fontId="14" fillId="0" borderId="1" xfId="0" applyFont="true" applyBorder="true" applyAlignment="true" applyProtection="false">
      <alignment horizontal="left" vertical="top"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5" fontId="7"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C6E0B4"/>
          <bgColor rgb="FF000000"/>
        </patternFill>
      </fill>
    </dxf>
    <dxf>
      <fill>
        <patternFill patternType="solid">
          <fgColor rgb="FFF8CBAD"/>
          <bgColor rgb="FF000000"/>
        </patternFill>
      </fill>
    </dxf>
    <dxf>
      <fill>
        <patternFill patternType="solid">
          <fgColor rgb="FFFFE699"/>
          <bgColor rgb="FF000000"/>
        </patternFill>
      </fill>
    </dxf>
    <dxf>
      <font>
        <name val="Arial"/>
        <charset val="1"/>
        <family val="0"/>
        <b val="1"/>
        <sz val="9"/>
      </font>
      <fill>
        <patternFill>
          <bgColor rgb="FFF8CBAD"/>
        </patternFill>
      </fill>
    </dxf>
    <dxf>
      <font>
        <name val="Arial"/>
        <charset val="1"/>
        <family val="0"/>
        <sz val="9"/>
      </font>
      <fill>
        <patternFill>
          <bgColor rgb="FFFFE699"/>
        </patternFill>
      </fill>
    </dxf>
    <dxf>
      <font>
        <name val="Arial"/>
        <charset val="1"/>
        <family val="0"/>
        <sz val="9"/>
      </font>
      <fill>
        <patternFill>
          <bgColor rgb="FFC6E0B4"/>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95"/>
    <col collapsed="false" customWidth="true" hidden="false" outlineLevel="0" max="3" min="3" style="0" width="20"/>
    <col collapsed="false" customWidth="true" hidden="false" outlineLevel="0" max="4" min="4" style="0" width="16"/>
  </cols>
  <sheetData>
    <row r="1" customFormat="false" ht="24.45" hidden="false" customHeight="false" outlineLevel="0" collapsed="false">
      <c r="A1" s="1" t="s">
        <v>0</v>
      </c>
    </row>
    <row r="2" customFormat="false" ht="16.15" hidden="false" customHeight="false" outlineLevel="0" collapsed="false">
      <c r="A2" s="2" t="s">
        <v>1</v>
      </c>
    </row>
    <row r="4" customFormat="false" ht="15" hidden="false" customHeight="false" outlineLevel="0" collapsed="false">
      <c r="A4" s="3" t="s">
        <v>2</v>
      </c>
      <c r="B4" s="4" t="s">
        <v>3</v>
      </c>
    </row>
    <row r="5" customFormat="false" ht="15" hidden="false" customHeight="false" outlineLevel="0" collapsed="false">
      <c r="A5" s="3" t="s">
        <v>4</v>
      </c>
      <c r="B5" s="4" t="s">
        <v>5</v>
      </c>
    </row>
    <row r="6" customFormat="false" ht="15" hidden="false" customHeight="false" outlineLevel="0" collapsed="false">
      <c r="A6" s="3" t="s">
        <v>6</v>
      </c>
      <c r="B6" s="4" t="s">
        <v>7</v>
      </c>
    </row>
    <row r="7" customFormat="false" ht="15" hidden="false" customHeight="false" outlineLevel="0" collapsed="false">
      <c r="A7" s="3" t="s">
        <v>8</v>
      </c>
      <c r="B7" s="4" t="s">
        <v>9</v>
      </c>
    </row>
    <row r="8" customFormat="false" ht="15" hidden="false" customHeight="false" outlineLevel="0" collapsed="false">
      <c r="A8" s="3" t="s">
        <v>10</v>
      </c>
      <c r="B8" s="4" t="s">
        <v>11</v>
      </c>
    </row>
    <row r="9" customFormat="false" ht="15" hidden="false" customHeight="false" outlineLevel="0" collapsed="false">
      <c r="A9" s="3" t="s">
        <v>12</v>
      </c>
      <c r="B9" s="4" t="s">
        <v>13</v>
      </c>
    </row>
    <row r="10" customFormat="false" ht="15" hidden="false" customHeight="false" outlineLevel="0" collapsed="false">
      <c r="A10" s="3" t="s">
        <v>14</v>
      </c>
      <c r="B10" s="4" t="s">
        <v>15</v>
      </c>
    </row>
    <row r="11" customFormat="false" ht="15" hidden="false" customHeight="false" outlineLevel="0" collapsed="false">
      <c r="A11" s="3" t="s">
        <v>16</v>
      </c>
      <c r="B11" s="4" t="s">
        <v>17</v>
      </c>
    </row>
    <row r="12" customFormat="false" ht="15" hidden="false" customHeight="false" outlineLevel="0" collapsed="false">
      <c r="A12" s="3" t="s">
        <v>18</v>
      </c>
      <c r="B12" s="4" t="s">
        <v>19</v>
      </c>
    </row>
    <row r="13" customFormat="false" ht="60" hidden="false" customHeight="true" outlineLevel="0" collapsed="false">
      <c r="A13" s="3" t="s">
        <v>20</v>
      </c>
      <c r="B13" s="4" t="s">
        <v>21</v>
      </c>
    </row>
    <row r="16" customFormat="false" ht="15" hidden="false" customHeight="false" outlineLevel="0" collapsed="false">
      <c r="A16" s="5" t="s">
        <v>22</v>
      </c>
    </row>
    <row r="17" customFormat="false" ht="30" hidden="false" customHeight="true" outlineLevel="0" collapsed="false">
      <c r="A17" s="6" t="s">
        <v>23</v>
      </c>
      <c r="B17" s="6"/>
    </row>
    <row r="18" customFormat="false" ht="30" hidden="false" customHeight="true" outlineLevel="0" collapsed="false">
      <c r="A18" s="6" t="s">
        <v>24</v>
      </c>
      <c r="B18" s="6"/>
    </row>
    <row r="19" customFormat="false" ht="30" hidden="false" customHeight="true" outlineLevel="0" collapsed="false">
      <c r="A19" s="6" t="s">
        <v>25</v>
      </c>
      <c r="B19" s="6"/>
    </row>
    <row r="20" customFormat="false" ht="30" hidden="false" customHeight="true" outlineLevel="0" collapsed="false">
      <c r="A20" s="6" t="s">
        <v>26</v>
      </c>
      <c r="B20" s="6"/>
    </row>
    <row r="21" customFormat="false" ht="30" hidden="false" customHeight="true" outlineLevel="0" collapsed="false">
      <c r="A21" s="6" t="s">
        <v>27</v>
      </c>
      <c r="B21" s="6"/>
    </row>
    <row r="22" customFormat="false" ht="30" hidden="false" customHeight="true" outlineLevel="0" collapsed="false">
      <c r="A22" s="6" t="s">
        <v>28</v>
      </c>
      <c r="B22" s="6"/>
    </row>
    <row r="25" customFormat="false" ht="15" hidden="false" customHeight="false" outlineLevel="0" collapsed="false">
      <c r="A25" s="7" t="s">
        <v>29</v>
      </c>
    </row>
    <row r="26" customFormat="false" ht="15" hidden="false" customHeight="false" outlineLevel="0" collapsed="false">
      <c r="A26" s="8" t="s">
        <v>30</v>
      </c>
      <c r="B26" s="8" t="s">
        <v>31</v>
      </c>
      <c r="C26" s="8" t="s">
        <v>32</v>
      </c>
      <c r="D26" s="8" t="s">
        <v>33</v>
      </c>
    </row>
    <row r="27" customFormat="false" ht="15" hidden="false" customHeight="false" outlineLevel="0" collapsed="false">
      <c r="A27" s="9" t="s">
        <v>34</v>
      </c>
      <c r="B27" s="10"/>
      <c r="C27" s="10"/>
      <c r="D27" s="10"/>
    </row>
    <row r="28" customFormat="false" ht="15" hidden="false" customHeight="false" outlineLevel="0" collapsed="false">
      <c r="A28" s="9" t="s">
        <v>35</v>
      </c>
      <c r="B28" s="10"/>
      <c r="C28" s="10"/>
      <c r="D28" s="10"/>
    </row>
    <row r="29" customFormat="false" ht="15" hidden="false" customHeight="false" outlineLevel="0" collapsed="false">
      <c r="A29" s="9" t="s">
        <v>36</v>
      </c>
      <c r="B29" s="10"/>
      <c r="C29" s="10"/>
      <c r="D29" s="10"/>
    </row>
    <row r="30" customFormat="false" ht="15" hidden="false" customHeight="false" outlineLevel="0" collapsed="false">
      <c r="A30" s="9" t="s">
        <v>37</v>
      </c>
      <c r="B30" s="10"/>
      <c r="C30" s="10"/>
      <c r="D30" s="10"/>
    </row>
  </sheetData>
  <mergeCells count="6">
    <mergeCell ref="A17:B17"/>
    <mergeCell ref="A18:B18"/>
    <mergeCell ref="A19:B19"/>
    <mergeCell ref="A20:B20"/>
    <mergeCell ref="A21:B21"/>
    <mergeCell ref="A22:B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3" min="2" style="0" width="46"/>
    <col collapsed="false" customWidth="true" hidden="false" outlineLevel="0" max="4" min="4" style="0" width="30"/>
  </cols>
  <sheetData>
    <row r="1" customFormat="false" ht="17.35" hidden="false" customHeight="false" outlineLevel="0" collapsed="false">
      <c r="A1" s="11" t="s">
        <v>38</v>
      </c>
    </row>
    <row r="2" customFormat="false" ht="15" hidden="false" customHeight="false" outlineLevel="0" collapsed="false">
      <c r="A2" s="12" t="s">
        <v>39</v>
      </c>
    </row>
    <row r="4" customFormat="false" ht="15" hidden="false" customHeight="false" outlineLevel="0" collapsed="false">
      <c r="A4" s="13" t="s">
        <v>40</v>
      </c>
    </row>
    <row r="5" customFormat="false" ht="31.5" hidden="false" customHeight="true" outlineLevel="0" collapsed="false">
      <c r="A5" s="14" t="s">
        <v>41</v>
      </c>
      <c r="B5" s="14" t="s">
        <v>42</v>
      </c>
    </row>
    <row r="6" customFormat="false" ht="30" hidden="false" customHeight="true" outlineLevel="0" collapsed="false">
      <c r="A6" s="4" t="s">
        <v>43</v>
      </c>
      <c r="B6" s="4" t="s">
        <v>44</v>
      </c>
    </row>
    <row r="7" customFormat="false" ht="30" hidden="false" customHeight="true" outlineLevel="0" collapsed="false">
      <c r="A7" s="4" t="s">
        <v>45</v>
      </c>
      <c r="B7" s="4" t="s">
        <v>46</v>
      </c>
    </row>
    <row r="8" customFormat="false" ht="30" hidden="false" customHeight="true" outlineLevel="0" collapsed="false">
      <c r="A8" s="4" t="s">
        <v>47</v>
      </c>
      <c r="B8" s="4" t="s">
        <v>48</v>
      </c>
    </row>
    <row r="11" customFormat="false" ht="15" hidden="false" customHeight="false" outlineLevel="0" collapsed="false">
      <c r="A11" s="13" t="s">
        <v>49</v>
      </c>
    </row>
    <row r="12" customFormat="false" ht="31.5" hidden="false" customHeight="true" outlineLevel="0" collapsed="false">
      <c r="A12" s="14" t="s">
        <v>41</v>
      </c>
      <c r="B12" s="14" t="s">
        <v>42</v>
      </c>
    </row>
    <row r="13" customFormat="false" ht="30" hidden="false" customHeight="true" outlineLevel="0" collapsed="false">
      <c r="A13" s="4" t="s">
        <v>43</v>
      </c>
      <c r="B13" s="4" t="s">
        <v>50</v>
      </c>
    </row>
    <row r="14" customFormat="false" ht="30" hidden="false" customHeight="true" outlineLevel="0" collapsed="false">
      <c r="A14" s="4" t="s">
        <v>45</v>
      </c>
      <c r="B14" s="4" t="s">
        <v>51</v>
      </c>
    </row>
    <row r="15" customFormat="false" ht="30" hidden="false" customHeight="true" outlineLevel="0" collapsed="false">
      <c r="A15" s="4" t="s">
        <v>47</v>
      </c>
      <c r="B15" s="4" t="s">
        <v>52</v>
      </c>
    </row>
    <row r="18" customFormat="false" ht="15" hidden="false" customHeight="false" outlineLevel="0" collapsed="false">
      <c r="A18" s="13" t="s">
        <v>53</v>
      </c>
    </row>
    <row r="19" customFormat="false" ht="31.5" hidden="false" customHeight="true" outlineLevel="0" collapsed="false">
      <c r="A19" s="14" t="s">
        <v>41</v>
      </c>
      <c r="B19" s="14" t="s">
        <v>42</v>
      </c>
    </row>
    <row r="20" customFormat="false" ht="30" hidden="false" customHeight="true" outlineLevel="0" collapsed="false">
      <c r="A20" s="4" t="s">
        <v>43</v>
      </c>
      <c r="B20" s="4" t="s">
        <v>54</v>
      </c>
    </row>
    <row r="21" customFormat="false" ht="30" hidden="false" customHeight="true" outlineLevel="0" collapsed="false">
      <c r="A21" s="4" t="s">
        <v>45</v>
      </c>
      <c r="B21" s="4" t="s">
        <v>55</v>
      </c>
    </row>
    <row r="22" customFormat="false" ht="30" hidden="false" customHeight="true" outlineLevel="0" collapsed="false">
      <c r="A22" s="4" t="s">
        <v>47</v>
      </c>
      <c r="B22" s="4" t="s">
        <v>56</v>
      </c>
    </row>
    <row r="25" customFormat="false" ht="15" hidden="false" customHeight="false" outlineLevel="0" collapsed="false">
      <c r="A25" s="13" t="s">
        <v>57</v>
      </c>
    </row>
    <row r="26" customFormat="false" ht="31.5" hidden="false" customHeight="true" outlineLevel="0" collapsed="false">
      <c r="A26" s="14" t="s">
        <v>58</v>
      </c>
      <c r="B26" s="14" t="s">
        <v>59</v>
      </c>
      <c r="C26" s="14" t="s">
        <v>60</v>
      </c>
      <c r="D26" s="14" t="s">
        <v>61</v>
      </c>
    </row>
    <row r="27" customFormat="false" ht="30" hidden="false" customHeight="true" outlineLevel="0" collapsed="false">
      <c r="A27" s="4" t="s">
        <v>43</v>
      </c>
      <c r="B27" s="4" t="s">
        <v>62</v>
      </c>
      <c r="C27" s="4" t="s">
        <v>62</v>
      </c>
      <c r="D27" s="4" t="s">
        <v>63</v>
      </c>
    </row>
    <row r="28" customFormat="false" ht="30" hidden="false" customHeight="true" outlineLevel="0" collapsed="false">
      <c r="A28" s="4" t="s">
        <v>45</v>
      </c>
      <c r="B28" s="4" t="s">
        <v>62</v>
      </c>
      <c r="C28" s="4" t="s">
        <v>63</v>
      </c>
      <c r="D28" s="4" t="s">
        <v>64</v>
      </c>
    </row>
    <row r="29" customFormat="false" ht="30" hidden="false" customHeight="true" outlineLevel="0" collapsed="false">
      <c r="A29" s="4" t="s">
        <v>47</v>
      </c>
      <c r="B29" s="4" t="s">
        <v>63</v>
      </c>
      <c r="C29" s="4" t="s">
        <v>64</v>
      </c>
      <c r="D29" s="4" t="s">
        <v>64</v>
      </c>
    </row>
    <row r="32" customFormat="false" ht="15" hidden="false" customHeight="false" outlineLevel="0" collapsed="false">
      <c r="A32" s="13" t="s">
        <v>65</v>
      </c>
    </row>
    <row r="33" customFormat="false" ht="31.5" hidden="false" customHeight="true" outlineLevel="0" collapsed="false">
      <c r="A33" s="14" t="s">
        <v>66</v>
      </c>
      <c r="B33" s="14" t="s">
        <v>67</v>
      </c>
      <c r="C33" s="14" t="s">
        <v>68</v>
      </c>
      <c r="D33" s="14" t="s">
        <v>69</v>
      </c>
    </row>
    <row r="34" customFormat="false" ht="30" hidden="false" customHeight="true" outlineLevel="0" collapsed="false">
      <c r="A34" s="4" t="s">
        <v>62</v>
      </c>
      <c r="B34" s="4" t="s">
        <v>43</v>
      </c>
      <c r="C34" s="4" t="s">
        <v>43</v>
      </c>
      <c r="D34" s="4" t="s">
        <v>45</v>
      </c>
    </row>
    <row r="35" customFormat="false" ht="30" hidden="false" customHeight="true" outlineLevel="0" collapsed="false">
      <c r="A35" s="4" t="s">
        <v>63</v>
      </c>
      <c r="B35" s="4" t="s">
        <v>43</v>
      </c>
      <c r="C35" s="4" t="s">
        <v>45</v>
      </c>
      <c r="D35" s="4" t="s">
        <v>47</v>
      </c>
    </row>
    <row r="36" customFormat="false" ht="30" hidden="false" customHeight="true" outlineLevel="0" collapsed="false">
      <c r="A36" s="4" t="s">
        <v>64</v>
      </c>
      <c r="B36" s="4" t="s">
        <v>45</v>
      </c>
      <c r="C36" s="4" t="s">
        <v>47</v>
      </c>
      <c r="D36" s="4" t="s">
        <v>47</v>
      </c>
    </row>
    <row r="39" customFormat="false" ht="15" hidden="false" customHeight="false" outlineLevel="0" collapsed="false">
      <c r="A39" s="13" t="s">
        <v>70</v>
      </c>
    </row>
    <row r="40" customFormat="false" ht="31.5" hidden="false" customHeight="true" outlineLevel="0" collapsed="false">
      <c r="A40" s="14" t="s">
        <v>71</v>
      </c>
      <c r="B40" s="14" t="s">
        <v>72</v>
      </c>
      <c r="C40" s="14" t="s">
        <v>73</v>
      </c>
    </row>
    <row r="41" customFormat="false" ht="30" hidden="false" customHeight="true" outlineLevel="0" collapsed="false">
      <c r="A41" s="4" t="s">
        <v>43</v>
      </c>
      <c r="B41" s="4" t="s">
        <v>74</v>
      </c>
      <c r="C41" s="4" t="s">
        <v>75</v>
      </c>
    </row>
    <row r="42" customFormat="false" ht="30" hidden="false" customHeight="true" outlineLevel="0" collapsed="false">
      <c r="A42" s="4" t="s">
        <v>45</v>
      </c>
      <c r="B42" s="4" t="s">
        <v>76</v>
      </c>
      <c r="C42" s="4" t="s">
        <v>77</v>
      </c>
    </row>
    <row r="43" customFormat="false" ht="30" hidden="false" customHeight="true" outlineLevel="0" collapsed="false">
      <c r="A43" s="4" t="s">
        <v>47</v>
      </c>
      <c r="B43" s="4" t="s">
        <v>78</v>
      </c>
      <c r="C43" s="4" t="s">
        <v>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2"/>
    <col collapsed="false" customWidth="true" hidden="false" outlineLevel="0" max="3" min="3" style="0" width="17"/>
    <col collapsed="false" customWidth="true" hidden="false" outlineLevel="0" max="4" min="4" style="0" width="52"/>
    <col collapsed="false" customWidth="true" hidden="false" outlineLevel="0" max="5" min="5" style="0" width="10"/>
    <col collapsed="false" customWidth="true" hidden="false" outlineLevel="0" max="6" min="6" style="0" width="9"/>
    <col collapsed="false" customWidth="true" hidden="false" outlineLevel="0" max="7" min="7" style="0" width="52"/>
    <col collapsed="false" customWidth="true" hidden="false" outlineLevel="0" max="8" min="8" style="0" width="10"/>
    <col collapsed="false" customWidth="true" hidden="false" outlineLevel="0" max="9" min="9" style="0" width="11"/>
    <col collapsed="false" customWidth="true" hidden="false" outlineLevel="0" max="10" min="10" style="0" width="12"/>
    <col collapsed="false" customWidth="true" hidden="false" outlineLevel="0" max="11" min="11" style="0" width="9"/>
    <col collapsed="false" customWidth="true" hidden="false" outlineLevel="0" max="12" min="12" style="0" width="11"/>
    <col collapsed="false" customWidth="true" hidden="false" outlineLevel="0" max="13" min="13" style="0" width="54"/>
    <col collapsed="false" customWidth="true" hidden="false" outlineLevel="0" max="14" min="14" style="0" width="30"/>
    <col collapsed="false" customWidth="true" hidden="false" outlineLevel="0" max="15" min="15" style="0" width="12"/>
    <col collapsed="false" customWidth="true" hidden="false" outlineLevel="0" max="16" min="16" style="0" width="22"/>
    <col collapsed="false" customWidth="true" hidden="false" outlineLevel="0" max="17" min="17" style="0" width="34"/>
  </cols>
  <sheetData>
    <row r="1" customFormat="false" ht="31.5" hidden="false" customHeight="true" outlineLevel="0" collapsed="false">
      <c r="A1" s="14" t="s">
        <v>80</v>
      </c>
      <c r="B1" s="14" t="s">
        <v>81</v>
      </c>
      <c r="C1" s="14" t="s">
        <v>82</v>
      </c>
      <c r="D1" s="14" t="s">
        <v>83</v>
      </c>
      <c r="E1" s="14" t="s">
        <v>84</v>
      </c>
      <c r="F1" s="14" t="s">
        <v>85</v>
      </c>
      <c r="G1" s="14" t="s">
        <v>86</v>
      </c>
      <c r="H1" s="14" t="s">
        <v>58</v>
      </c>
      <c r="I1" s="14" t="s">
        <v>87</v>
      </c>
      <c r="J1" s="14" t="s">
        <v>88</v>
      </c>
      <c r="K1" s="14" t="s">
        <v>66</v>
      </c>
      <c r="L1" s="14" t="s">
        <v>71</v>
      </c>
      <c r="M1" s="14" t="s">
        <v>89</v>
      </c>
      <c r="N1" s="14" t="s">
        <v>73</v>
      </c>
      <c r="O1" s="14" t="s">
        <v>90</v>
      </c>
      <c r="P1" s="14" t="s">
        <v>91</v>
      </c>
      <c r="Q1" s="14" t="s">
        <v>92</v>
      </c>
    </row>
    <row r="2" customFormat="false" ht="60" hidden="false" customHeight="true" outlineLevel="0" collapsed="false">
      <c r="A2" s="15" t="s">
        <v>93</v>
      </c>
      <c r="B2" s="15" t="s">
        <v>94</v>
      </c>
      <c r="C2" s="16" t="s">
        <v>95</v>
      </c>
      <c r="D2" s="16" t="s">
        <v>96</v>
      </c>
      <c r="E2" s="15" t="s">
        <v>97</v>
      </c>
      <c r="F2" s="15" t="s">
        <v>98</v>
      </c>
      <c r="G2" s="16" t="s">
        <v>99</v>
      </c>
      <c r="H2" s="15" t="s">
        <v>45</v>
      </c>
      <c r="I2" s="15" t="s">
        <v>47</v>
      </c>
      <c r="J2" s="15" t="s">
        <v>45</v>
      </c>
      <c r="K2" s="15" t="n">
        <f aca="false">IFERROR(INDEX(Lookups!$D$3:$D$11,MATCH(H2&amp;"|"&amp;I2,Lookups!$C$3:$C$11,0)),"")</f>
        <v>1</v>
      </c>
      <c r="L2" s="15" t="str">
        <f aca="false">IFERROR(INDEX(Lookups!$H$3:$H$11,MATCH(K2&amp;"|"&amp;J2,Lookups!$G$3:$G$11,0)),"")</f>
        <v>Low</v>
      </c>
      <c r="M2" s="16" t="str">
        <f aca="false">IFERROR(INDEX(Lookups!$L$3:$L$5,MATCH(L2,Lookups!$K$3:$K$5,0)),"")</f>
        <v>Verify by grouped OQ execution or PQ/UAT scenario. No additional design control required beyond standard development and code review.</v>
      </c>
      <c r="N2" s="16" t="str">
        <f aca="false">IFERROR(INDEX(Lookups!$M$3:$M$5,MATCH(L2,Lookups!$K$3:$K$5,0)),"")</f>
        <v>Grouped OQ / PQ-UAT scenario verification</v>
      </c>
      <c r="O2" s="16" t="s">
        <v>100</v>
      </c>
      <c r="P2" s="16" t="str">
        <f aca="false">IFERROR(INDEX(Lookups!$N$3:$N$5,MATCH(L2,Lookups!$K$3:$K$5,0)),"")</f>
        <v>Low</v>
      </c>
      <c r="Q2" s="16"/>
    </row>
    <row r="3" customFormat="false" ht="60" hidden="false" customHeight="true" outlineLevel="0" collapsed="false">
      <c r="A3" s="15" t="s">
        <v>101</v>
      </c>
      <c r="B3" s="15" t="s">
        <v>102</v>
      </c>
      <c r="C3" s="16" t="s">
        <v>95</v>
      </c>
      <c r="D3" s="16" t="s">
        <v>103</v>
      </c>
      <c r="E3" s="15" t="s">
        <v>97</v>
      </c>
      <c r="F3" s="15" t="s">
        <v>98</v>
      </c>
      <c r="G3" s="16" t="s">
        <v>99</v>
      </c>
      <c r="H3" s="15" t="s">
        <v>45</v>
      </c>
      <c r="I3" s="15" t="s">
        <v>45</v>
      </c>
      <c r="J3" s="15" t="s">
        <v>45</v>
      </c>
      <c r="K3" s="15" t="n">
        <f aca="false">IFERROR(INDEX(Lookups!$D$3:$D$11,MATCH(H3&amp;"|"&amp;I3,Lookups!$C$3:$C$11,0)),"")</f>
        <v>2</v>
      </c>
      <c r="L3" s="15" t="str">
        <f aca="false">IFERROR(INDEX(Lookups!$H$3:$H$11,MATCH(K3&amp;"|"&amp;J3,Lookups!$G$3:$G$11,0)),"")</f>
        <v>Medium</v>
      </c>
      <c r="M3" s="16" t="str">
        <f aca="false">IFERROR(INDEX(Lookups!$L$3:$L$5,MATCH(L3,Lookups!$K$3:$K$5,0)),"")</f>
        <v>Specify in the Functional Specification and verify by individual OQ test case (positive testing). Procedural control where user judgement is involved.</v>
      </c>
      <c r="N3" s="16" t="str">
        <f aca="false">IFERROR(INDEX(Lookups!$M$3:$M$5,MATCH(L3,Lookups!$K$3:$K$5,0)),"")</f>
        <v>Individual OQ test case — positive testing</v>
      </c>
      <c r="O3" s="16" t="s">
        <v>100</v>
      </c>
      <c r="P3" s="16" t="str">
        <f aca="false">IFERROR(INDEX(Lookups!$N$3:$N$5,MATCH(L3,Lookups!$K$3:$K$5,0)),"")</f>
        <v>Low</v>
      </c>
      <c r="Q3" s="16"/>
    </row>
    <row r="4" customFormat="false" ht="60" hidden="false" customHeight="true" outlineLevel="0" collapsed="false">
      <c r="A4" s="15" t="s">
        <v>104</v>
      </c>
      <c r="B4" s="15" t="s">
        <v>105</v>
      </c>
      <c r="C4" s="16" t="s">
        <v>95</v>
      </c>
      <c r="D4" s="16" t="s">
        <v>106</v>
      </c>
      <c r="E4" s="15" t="s">
        <v>97</v>
      </c>
      <c r="F4" s="15" t="s">
        <v>98</v>
      </c>
      <c r="G4" s="16" t="s">
        <v>99</v>
      </c>
      <c r="H4" s="15" t="s">
        <v>43</v>
      </c>
      <c r="I4" s="15" t="s">
        <v>45</v>
      </c>
      <c r="J4" s="15" t="s">
        <v>47</v>
      </c>
      <c r="K4" s="15" t="n">
        <f aca="false">IFERROR(INDEX(Lookups!$D$3:$D$11,MATCH(H4&amp;"|"&amp;I4,Lookups!$C$3:$C$11,0)),"")</f>
        <v>3</v>
      </c>
      <c r="L4" s="15" t="str">
        <f aca="false">IFERROR(INDEX(Lookups!$H$3:$H$11,MATCH(K4&amp;"|"&amp;J4,Lookups!$G$3:$G$11,0)),"")</f>
        <v>High</v>
      </c>
      <c r="M4" s="16" t="str">
        <f aca="false">IFERROR(INDEX(Lookups!$L$3:$L$5,MATCH(L4,Lookups!$K$3:$K$5,0)),"")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4" s="16" t="str">
        <f aca="false">IFERROR(INDEX(Lookups!$M$3:$M$5,MATCH(L4,Lookups!$K$3:$K$5,0)),"")</f>
        <v>Individual OQ test case — positive and negative testing, executed and witnessed</v>
      </c>
      <c r="O4" s="16" t="s">
        <v>100</v>
      </c>
      <c r="P4" s="16" t="str">
        <f aca="false">IFERROR(INDEX(Lookups!$N$3:$N$5,MATCH(L4,Lookups!$K$3:$K$5,0)),"")</f>
        <v>Medium (to be confirmed after test execution)</v>
      </c>
      <c r="Q4" s="16"/>
    </row>
    <row r="5" customFormat="false" ht="60" hidden="false" customHeight="true" outlineLevel="0" collapsed="false">
      <c r="A5" s="15" t="s">
        <v>107</v>
      </c>
      <c r="B5" s="15" t="s">
        <v>108</v>
      </c>
      <c r="C5" s="16" t="s">
        <v>95</v>
      </c>
      <c r="D5" s="16" t="s">
        <v>109</v>
      </c>
      <c r="E5" s="15" t="s">
        <v>97</v>
      </c>
      <c r="F5" s="15" t="s">
        <v>98</v>
      </c>
      <c r="G5" s="16" t="s">
        <v>110</v>
      </c>
      <c r="H5" s="15" t="s">
        <v>43</v>
      </c>
      <c r="I5" s="15" t="s">
        <v>47</v>
      </c>
      <c r="J5" s="15" t="s">
        <v>43</v>
      </c>
      <c r="K5" s="15" t="n">
        <f aca="false">IFERROR(INDEX(Lookups!$D$3:$D$11,MATCH(H5&amp;"|"&amp;I5,Lookups!$C$3:$C$11,0)),"")</f>
        <v>2</v>
      </c>
      <c r="L5" s="15" t="str">
        <f aca="false">IFERROR(INDEX(Lookups!$H$3:$H$11,MATCH(K5&amp;"|"&amp;J5,Lookups!$G$3:$G$11,0)),"")</f>
        <v>Low</v>
      </c>
      <c r="M5" s="16" t="str">
        <f aca="false">IFERROR(INDEX(Lookups!$L$3:$L$5,MATCH(L5,Lookups!$K$3:$K$5,0)),"")</f>
        <v>Verify by grouped OQ execution or PQ/UAT scenario. No additional design control required beyond standard development and code review.</v>
      </c>
      <c r="N5" s="16" t="str">
        <f aca="false">IFERROR(INDEX(Lookups!$M$3:$M$5,MATCH(L5,Lookups!$K$3:$K$5,0)),"")</f>
        <v>Grouped OQ / PQ-UAT scenario verification</v>
      </c>
      <c r="O5" s="16" t="s">
        <v>100</v>
      </c>
      <c r="P5" s="16" t="str">
        <f aca="false">IFERROR(INDEX(Lookups!$N$3:$N$5,MATCH(L5,Lookups!$K$3:$K$5,0)),"")</f>
        <v>Low</v>
      </c>
      <c r="Q5" s="16"/>
    </row>
    <row r="6" customFormat="false" ht="60" hidden="false" customHeight="true" outlineLevel="0" collapsed="false">
      <c r="A6" s="15" t="s">
        <v>111</v>
      </c>
      <c r="B6" s="15" t="s">
        <v>112</v>
      </c>
      <c r="C6" s="16" t="s">
        <v>95</v>
      </c>
      <c r="D6" s="16" t="s">
        <v>113</v>
      </c>
      <c r="E6" s="15" t="s">
        <v>97</v>
      </c>
      <c r="F6" s="15" t="s">
        <v>98</v>
      </c>
      <c r="G6" s="16" t="s">
        <v>114</v>
      </c>
      <c r="H6" s="15" t="s">
        <v>43</v>
      </c>
      <c r="I6" s="15" t="s">
        <v>47</v>
      </c>
      <c r="J6" s="15" t="s">
        <v>45</v>
      </c>
      <c r="K6" s="15" t="n">
        <f aca="false">IFERROR(INDEX(Lookups!$D$3:$D$11,MATCH(H6&amp;"|"&amp;I6,Lookups!$C$3:$C$11,0)),"")</f>
        <v>2</v>
      </c>
      <c r="L6" s="15" t="str">
        <f aca="false">IFERROR(INDEX(Lookups!$H$3:$H$11,MATCH(K6&amp;"|"&amp;J6,Lookups!$G$3:$G$11,0)),"")</f>
        <v>Medium</v>
      </c>
      <c r="M6" s="16" t="str">
        <f aca="false">IFERROR(INDEX(Lookups!$L$3:$L$5,MATCH(L6,Lookups!$K$3:$K$5,0)),"")</f>
        <v>Specify in the Functional Specification and verify by individual OQ test case (positive testing). Procedural control where user judgement is involved.</v>
      </c>
      <c r="N6" s="16" t="str">
        <f aca="false">IFERROR(INDEX(Lookups!$M$3:$M$5,MATCH(L6,Lookups!$K$3:$K$5,0)),"")</f>
        <v>Individual OQ test case — positive testing</v>
      </c>
      <c r="O6" s="16" t="s">
        <v>100</v>
      </c>
      <c r="P6" s="16" t="str">
        <f aca="false">IFERROR(INDEX(Lookups!$N$3:$N$5,MATCH(L6,Lookups!$K$3:$K$5,0)),"")</f>
        <v>Low</v>
      </c>
      <c r="Q6" s="16"/>
    </row>
    <row r="7" customFormat="false" ht="60" hidden="false" customHeight="true" outlineLevel="0" collapsed="false">
      <c r="A7" s="15" t="s">
        <v>115</v>
      </c>
      <c r="B7" s="15" t="s">
        <v>116</v>
      </c>
      <c r="C7" s="16" t="s">
        <v>95</v>
      </c>
      <c r="D7" s="16" t="s">
        <v>117</v>
      </c>
      <c r="E7" s="15" t="s">
        <v>97</v>
      </c>
      <c r="F7" s="15" t="s">
        <v>98</v>
      </c>
      <c r="G7" s="16" t="s">
        <v>99</v>
      </c>
      <c r="H7" s="15" t="s">
        <v>47</v>
      </c>
      <c r="I7" s="15" t="s">
        <v>47</v>
      </c>
      <c r="J7" s="15" t="s">
        <v>43</v>
      </c>
      <c r="K7" s="15" t="n">
        <f aca="false">IFERROR(INDEX(Lookups!$D$3:$D$11,MATCH(H7&amp;"|"&amp;I7,Lookups!$C$3:$C$11,0)),"")</f>
        <v>1</v>
      </c>
      <c r="L7" s="15" t="str">
        <f aca="false">IFERROR(INDEX(Lookups!$H$3:$H$11,MATCH(K7&amp;"|"&amp;J7,Lookups!$G$3:$G$11,0)),"")</f>
        <v>Low</v>
      </c>
      <c r="M7" s="16" t="str">
        <f aca="false">IFERROR(INDEX(Lookups!$L$3:$L$5,MATCH(L7,Lookups!$K$3:$K$5,0)),"")</f>
        <v>Verify by grouped OQ execution or PQ/UAT scenario. No additional design control required beyond standard development and code review.</v>
      </c>
      <c r="N7" s="16" t="str">
        <f aca="false">IFERROR(INDEX(Lookups!$M$3:$M$5,MATCH(L7,Lookups!$K$3:$K$5,0)),"")</f>
        <v>Grouped OQ / PQ-UAT scenario verification</v>
      </c>
      <c r="O7" s="16" t="s">
        <v>100</v>
      </c>
      <c r="P7" s="16" t="str">
        <f aca="false">IFERROR(INDEX(Lookups!$N$3:$N$5,MATCH(L7,Lookups!$K$3:$K$5,0)),"")</f>
        <v>Low</v>
      </c>
      <c r="Q7" s="16"/>
    </row>
    <row r="8" customFormat="false" ht="60" hidden="false" customHeight="true" outlineLevel="0" collapsed="false">
      <c r="A8" s="15" t="s">
        <v>118</v>
      </c>
      <c r="B8" s="15" t="s">
        <v>119</v>
      </c>
      <c r="C8" s="16" t="s">
        <v>95</v>
      </c>
      <c r="D8" s="16" t="s">
        <v>120</v>
      </c>
      <c r="E8" s="15" t="s">
        <v>97</v>
      </c>
      <c r="F8" s="15" t="s">
        <v>98</v>
      </c>
      <c r="G8" s="16" t="s">
        <v>99</v>
      </c>
      <c r="H8" s="15" t="s">
        <v>45</v>
      </c>
      <c r="I8" s="15" t="s">
        <v>47</v>
      </c>
      <c r="J8" s="15" t="s">
        <v>45</v>
      </c>
      <c r="K8" s="15" t="n">
        <f aca="false">IFERROR(INDEX(Lookups!$D$3:$D$11,MATCH(H8&amp;"|"&amp;I8,Lookups!$C$3:$C$11,0)),"")</f>
        <v>1</v>
      </c>
      <c r="L8" s="15" t="str">
        <f aca="false">IFERROR(INDEX(Lookups!$H$3:$H$11,MATCH(K8&amp;"|"&amp;J8,Lookups!$G$3:$G$11,0)),"")</f>
        <v>Low</v>
      </c>
      <c r="M8" s="16" t="str">
        <f aca="false">IFERROR(INDEX(Lookups!$L$3:$L$5,MATCH(L8,Lookups!$K$3:$K$5,0)),"")</f>
        <v>Verify by grouped OQ execution or PQ/UAT scenario. No additional design control required beyond standard development and code review.</v>
      </c>
      <c r="N8" s="16" t="str">
        <f aca="false">IFERROR(INDEX(Lookups!$M$3:$M$5,MATCH(L8,Lookups!$K$3:$K$5,0)),"")</f>
        <v>Grouped OQ / PQ-UAT scenario verification</v>
      </c>
      <c r="O8" s="16" t="s">
        <v>100</v>
      </c>
      <c r="P8" s="16" t="str">
        <f aca="false">IFERROR(INDEX(Lookups!$N$3:$N$5,MATCH(L8,Lookups!$K$3:$K$5,0)),"")</f>
        <v>Low</v>
      </c>
      <c r="Q8" s="16"/>
    </row>
    <row r="9" customFormat="false" ht="60" hidden="false" customHeight="true" outlineLevel="0" collapsed="false">
      <c r="A9" s="15" t="s">
        <v>121</v>
      </c>
      <c r="B9" s="15" t="s">
        <v>122</v>
      </c>
      <c r="C9" s="16" t="s">
        <v>95</v>
      </c>
      <c r="D9" s="16" t="s">
        <v>123</v>
      </c>
      <c r="E9" s="15" t="s">
        <v>97</v>
      </c>
      <c r="F9" s="15" t="s">
        <v>98</v>
      </c>
      <c r="G9" s="16" t="s">
        <v>99</v>
      </c>
      <c r="H9" s="15" t="s">
        <v>45</v>
      </c>
      <c r="I9" s="15" t="s">
        <v>47</v>
      </c>
      <c r="J9" s="15" t="s">
        <v>45</v>
      </c>
      <c r="K9" s="15" t="n">
        <f aca="false">IFERROR(INDEX(Lookups!$D$3:$D$11,MATCH(H9&amp;"|"&amp;I9,Lookups!$C$3:$C$11,0)),"")</f>
        <v>1</v>
      </c>
      <c r="L9" s="15" t="str">
        <f aca="false">IFERROR(INDEX(Lookups!$H$3:$H$11,MATCH(K9&amp;"|"&amp;J9,Lookups!$G$3:$G$11,0)),"")</f>
        <v>Low</v>
      </c>
      <c r="M9" s="16" t="str">
        <f aca="false">IFERROR(INDEX(Lookups!$L$3:$L$5,MATCH(L9,Lookups!$K$3:$K$5,0)),"")</f>
        <v>Verify by grouped OQ execution or PQ/UAT scenario. No additional design control required beyond standard development and code review.</v>
      </c>
      <c r="N9" s="16" t="str">
        <f aca="false">IFERROR(INDEX(Lookups!$M$3:$M$5,MATCH(L9,Lookups!$K$3:$K$5,0)),"")</f>
        <v>Grouped OQ / PQ-UAT scenario verification</v>
      </c>
      <c r="O9" s="16" t="s">
        <v>100</v>
      </c>
      <c r="P9" s="16" t="str">
        <f aca="false">IFERROR(INDEX(Lookups!$N$3:$N$5,MATCH(L9,Lookups!$K$3:$K$5,0)),"")</f>
        <v>Low</v>
      </c>
      <c r="Q9" s="16"/>
    </row>
    <row r="10" customFormat="false" ht="60" hidden="false" customHeight="true" outlineLevel="0" collapsed="false">
      <c r="A10" s="15" t="s">
        <v>124</v>
      </c>
      <c r="B10" s="15" t="s">
        <v>125</v>
      </c>
      <c r="C10" s="16" t="s">
        <v>95</v>
      </c>
      <c r="D10" s="16" t="s">
        <v>126</v>
      </c>
      <c r="E10" s="15" t="s">
        <v>97</v>
      </c>
      <c r="F10" s="15" t="s">
        <v>98</v>
      </c>
      <c r="G10" s="16" t="s">
        <v>99</v>
      </c>
      <c r="H10" s="15" t="s">
        <v>45</v>
      </c>
      <c r="I10" s="15" t="s">
        <v>45</v>
      </c>
      <c r="J10" s="15" t="s">
        <v>45</v>
      </c>
      <c r="K10" s="15" t="n">
        <f aca="false">IFERROR(INDEX(Lookups!$D$3:$D$11,MATCH(H10&amp;"|"&amp;I10,Lookups!$C$3:$C$11,0)),"")</f>
        <v>2</v>
      </c>
      <c r="L10" s="15" t="str">
        <f aca="false">IFERROR(INDEX(Lookups!$H$3:$H$11,MATCH(K10&amp;"|"&amp;J10,Lookups!$G$3:$G$11,0)),"")</f>
        <v>Medium</v>
      </c>
      <c r="M10" s="16" t="str">
        <f aca="false">IFERROR(INDEX(Lookups!$L$3:$L$5,MATCH(L10,Lookups!$K$3:$K$5,0)),"")</f>
        <v>Specify in the Functional Specification and verify by individual OQ test case (positive testing). Procedural control where user judgement is involved.</v>
      </c>
      <c r="N10" s="16" t="str">
        <f aca="false">IFERROR(INDEX(Lookups!$M$3:$M$5,MATCH(L10,Lookups!$K$3:$K$5,0)),"")</f>
        <v>Individual OQ test case — positive testing</v>
      </c>
      <c r="O10" s="16" t="s">
        <v>100</v>
      </c>
      <c r="P10" s="16" t="str">
        <f aca="false">IFERROR(INDEX(Lookups!$N$3:$N$5,MATCH(L10,Lookups!$K$3:$K$5,0)),"")</f>
        <v>Low</v>
      </c>
      <c r="Q10" s="16"/>
    </row>
    <row r="11" customFormat="false" ht="60" hidden="false" customHeight="true" outlineLevel="0" collapsed="false">
      <c r="A11" s="15" t="s">
        <v>127</v>
      </c>
      <c r="B11" s="15" t="s">
        <v>128</v>
      </c>
      <c r="C11" s="16" t="s">
        <v>95</v>
      </c>
      <c r="D11" s="16" t="s">
        <v>129</v>
      </c>
      <c r="E11" s="15" t="s">
        <v>97</v>
      </c>
      <c r="F11" s="15" t="s">
        <v>98</v>
      </c>
      <c r="G11" s="16" t="s">
        <v>130</v>
      </c>
      <c r="H11" s="15" t="s">
        <v>43</v>
      </c>
      <c r="I11" s="15" t="s">
        <v>45</v>
      </c>
      <c r="J11" s="15" t="s">
        <v>45</v>
      </c>
      <c r="K11" s="15" t="n">
        <f aca="false">IFERROR(INDEX(Lookups!$D$3:$D$11,MATCH(H11&amp;"|"&amp;I11,Lookups!$C$3:$C$11,0)),"")</f>
        <v>3</v>
      </c>
      <c r="L11" s="15" t="str">
        <f aca="false">IFERROR(INDEX(Lookups!$H$3:$H$11,MATCH(K11&amp;"|"&amp;J11,Lookups!$G$3:$G$11,0)),"")</f>
        <v>High</v>
      </c>
      <c r="M11" s="16" t="str">
        <f aca="false">IFERROR(INDEX(Lookups!$L$3:$L$5,MATCH(L11,Lookups!$K$3:$K$5,0)),"")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11" s="16" t="str">
        <f aca="false">IFERROR(INDEX(Lookups!$M$3:$M$5,MATCH(L11,Lookups!$K$3:$K$5,0)),"")</f>
        <v>Individual OQ test case — positive and negative testing, executed and witnessed</v>
      </c>
      <c r="O11" s="16" t="s">
        <v>100</v>
      </c>
      <c r="P11" s="16" t="str">
        <f aca="false">IFERROR(INDEX(Lookups!$N$3:$N$5,MATCH(L11,Lookups!$K$3:$K$5,0)),"")</f>
        <v>Medium (to be confirmed after test execution)</v>
      </c>
      <c r="Q11" s="16"/>
    </row>
    <row r="12" customFormat="false" ht="60" hidden="false" customHeight="true" outlineLevel="0" collapsed="false">
      <c r="A12" s="15" t="s">
        <v>131</v>
      </c>
      <c r="B12" s="15" t="s">
        <v>132</v>
      </c>
      <c r="C12" s="16" t="s">
        <v>133</v>
      </c>
      <c r="D12" s="16" t="s">
        <v>134</v>
      </c>
      <c r="E12" s="15" t="s">
        <v>97</v>
      </c>
      <c r="F12" s="15" t="s">
        <v>98</v>
      </c>
      <c r="G12" s="16" t="s">
        <v>135</v>
      </c>
      <c r="H12" s="15" t="s">
        <v>45</v>
      </c>
      <c r="I12" s="15" t="s">
        <v>47</v>
      </c>
      <c r="J12" s="15" t="s">
        <v>45</v>
      </c>
      <c r="K12" s="15" t="n">
        <f aca="false">IFERROR(INDEX(Lookups!$D$3:$D$11,MATCH(H12&amp;"|"&amp;I12,Lookups!$C$3:$C$11,0)),"")</f>
        <v>1</v>
      </c>
      <c r="L12" s="15" t="str">
        <f aca="false">IFERROR(INDEX(Lookups!$H$3:$H$11,MATCH(K12&amp;"|"&amp;J12,Lookups!$G$3:$G$11,0)),"")</f>
        <v>Low</v>
      </c>
      <c r="M12" s="16" t="str">
        <f aca="false">IFERROR(INDEX(Lookups!$L$3:$L$5,MATCH(L12,Lookups!$K$3:$K$5,0)),"")</f>
        <v>Verify by grouped OQ execution or PQ/UAT scenario. No additional design control required beyond standard development and code review.</v>
      </c>
      <c r="N12" s="16" t="str">
        <f aca="false">IFERROR(INDEX(Lookups!$M$3:$M$5,MATCH(L12,Lookups!$K$3:$K$5,0)),"")</f>
        <v>Grouped OQ / PQ-UAT scenario verification</v>
      </c>
      <c r="O12" s="16" t="s">
        <v>100</v>
      </c>
      <c r="P12" s="16" t="str">
        <f aca="false">IFERROR(INDEX(Lookups!$N$3:$N$5,MATCH(L12,Lookups!$K$3:$K$5,0)),"")</f>
        <v>Low</v>
      </c>
      <c r="Q12" s="16"/>
    </row>
    <row r="13" customFormat="false" ht="60" hidden="false" customHeight="true" outlineLevel="0" collapsed="false">
      <c r="A13" s="15" t="s">
        <v>136</v>
      </c>
      <c r="B13" s="15" t="s">
        <v>137</v>
      </c>
      <c r="C13" s="16" t="s">
        <v>133</v>
      </c>
      <c r="D13" s="16" t="s">
        <v>138</v>
      </c>
      <c r="E13" s="15" t="s">
        <v>97</v>
      </c>
      <c r="F13" s="15" t="s">
        <v>98</v>
      </c>
      <c r="G13" s="16" t="s">
        <v>135</v>
      </c>
      <c r="H13" s="15" t="s">
        <v>45</v>
      </c>
      <c r="I13" s="15" t="s">
        <v>45</v>
      </c>
      <c r="J13" s="15" t="s">
        <v>45</v>
      </c>
      <c r="K13" s="15" t="n">
        <f aca="false">IFERROR(INDEX(Lookups!$D$3:$D$11,MATCH(H13&amp;"|"&amp;I13,Lookups!$C$3:$C$11,0)),"")</f>
        <v>2</v>
      </c>
      <c r="L13" s="15" t="str">
        <f aca="false">IFERROR(INDEX(Lookups!$H$3:$H$11,MATCH(K13&amp;"|"&amp;J13,Lookups!$G$3:$G$11,0)),"")</f>
        <v>Medium</v>
      </c>
      <c r="M13" s="16" t="str">
        <f aca="false">IFERROR(INDEX(Lookups!$L$3:$L$5,MATCH(L13,Lookups!$K$3:$K$5,0)),"")</f>
        <v>Specify in the Functional Specification and verify by individual OQ test case (positive testing). Procedural control where user judgement is involved.</v>
      </c>
      <c r="N13" s="16" t="str">
        <f aca="false">IFERROR(INDEX(Lookups!$M$3:$M$5,MATCH(L13,Lookups!$K$3:$K$5,0)),"")</f>
        <v>Individual OQ test case — positive testing</v>
      </c>
      <c r="O13" s="16" t="s">
        <v>100</v>
      </c>
      <c r="P13" s="16" t="str">
        <f aca="false">IFERROR(INDEX(Lookups!$N$3:$N$5,MATCH(L13,Lookups!$K$3:$K$5,0)),"")</f>
        <v>Low</v>
      </c>
      <c r="Q13" s="16"/>
    </row>
    <row r="14" customFormat="false" ht="60" hidden="false" customHeight="true" outlineLevel="0" collapsed="false">
      <c r="A14" s="15" t="s">
        <v>139</v>
      </c>
      <c r="B14" s="15" t="s">
        <v>140</v>
      </c>
      <c r="C14" s="16" t="s">
        <v>133</v>
      </c>
      <c r="D14" s="16" t="s">
        <v>141</v>
      </c>
      <c r="E14" s="15" t="s">
        <v>97</v>
      </c>
      <c r="F14" s="15" t="s">
        <v>98</v>
      </c>
      <c r="G14" s="16" t="s">
        <v>135</v>
      </c>
      <c r="H14" s="15" t="s">
        <v>45</v>
      </c>
      <c r="I14" s="15" t="s">
        <v>43</v>
      </c>
      <c r="J14" s="15" t="s">
        <v>45</v>
      </c>
      <c r="K14" s="15" t="n">
        <f aca="false">IFERROR(INDEX(Lookups!$D$3:$D$11,MATCH(H14&amp;"|"&amp;I14,Lookups!$C$3:$C$11,0)),"")</f>
        <v>3</v>
      </c>
      <c r="L14" s="15" t="str">
        <f aca="false">IFERROR(INDEX(Lookups!$H$3:$H$11,MATCH(K14&amp;"|"&amp;J14,Lookups!$G$3:$G$11,0)),"")</f>
        <v>High</v>
      </c>
      <c r="M14" s="16" t="str">
        <f aca="false">IFERROR(INDEX(Lookups!$L$3:$L$5,MATCH(L14,Lookups!$K$3:$K$5,0)),"")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14" s="16" t="str">
        <f aca="false">IFERROR(INDEX(Lookups!$M$3:$M$5,MATCH(L14,Lookups!$K$3:$K$5,0)),"")</f>
        <v>Individual OQ test case — positive and negative testing, executed and witnessed</v>
      </c>
      <c r="O14" s="16" t="s">
        <v>100</v>
      </c>
      <c r="P14" s="16" t="str">
        <f aca="false">IFERROR(INDEX(Lookups!$N$3:$N$5,MATCH(L14,Lookups!$K$3:$K$5,0)),"")</f>
        <v>Medium (to be confirmed after test execution)</v>
      </c>
      <c r="Q14" s="16"/>
    </row>
    <row r="15" customFormat="false" ht="60" hidden="false" customHeight="true" outlineLevel="0" collapsed="false">
      <c r="A15" s="15" t="s">
        <v>142</v>
      </c>
      <c r="B15" s="15" t="s">
        <v>143</v>
      </c>
      <c r="C15" s="16" t="s">
        <v>133</v>
      </c>
      <c r="D15" s="16" t="s">
        <v>144</v>
      </c>
      <c r="E15" s="15" t="s">
        <v>97</v>
      </c>
      <c r="F15" s="15" t="s">
        <v>98</v>
      </c>
      <c r="G15" s="16" t="s">
        <v>135</v>
      </c>
      <c r="H15" s="15" t="s">
        <v>45</v>
      </c>
      <c r="I15" s="15" t="s">
        <v>43</v>
      </c>
      <c r="J15" s="15" t="s">
        <v>47</v>
      </c>
      <c r="K15" s="15" t="n">
        <f aca="false">IFERROR(INDEX(Lookups!$D$3:$D$11,MATCH(H15&amp;"|"&amp;I15,Lookups!$C$3:$C$11,0)),"")</f>
        <v>3</v>
      </c>
      <c r="L15" s="15" t="str">
        <f aca="false">IFERROR(INDEX(Lookups!$H$3:$H$11,MATCH(K15&amp;"|"&amp;J15,Lookups!$G$3:$G$11,0)),"")</f>
        <v>High</v>
      </c>
      <c r="M15" s="16" t="str">
        <f aca="false">IFERROR(INDEX(Lookups!$L$3:$L$5,MATCH(L15,Lookups!$K$3:$K$5,0)),"")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15" s="16" t="str">
        <f aca="false">IFERROR(INDEX(Lookups!$M$3:$M$5,MATCH(L15,Lookups!$K$3:$K$5,0)),"")</f>
        <v>Individual OQ test case — positive and negative testing, executed and witnessed</v>
      </c>
      <c r="O15" s="16" t="s">
        <v>100</v>
      </c>
      <c r="P15" s="16" t="str">
        <f aca="false">IFERROR(INDEX(Lookups!$N$3:$N$5,MATCH(L15,Lookups!$K$3:$K$5,0)),"")</f>
        <v>Medium (to be confirmed after test execution)</v>
      </c>
      <c r="Q15" s="16"/>
    </row>
    <row r="16" customFormat="false" ht="60" hidden="false" customHeight="true" outlineLevel="0" collapsed="false">
      <c r="A16" s="15" t="s">
        <v>145</v>
      </c>
      <c r="B16" s="15" t="s">
        <v>146</v>
      </c>
      <c r="C16" s="16" t="s">
        <v>133</v>
      </c>
      <c r="D16" s="16" t="s">
        <v>147</v>
      </c>
      <c r="E16" s="15" t="s">
        <v>97</v>
      </c>
      <c r="F16" s="15" t="s">
        <v>98</v>
      </c>
      <c r="G16" s="16" t="s">
        <v>135</v>
      </c>
      <c r="H16" s="15" t="s">
        <v>45</v>
      </c>
      <c r="I16" s="15" t="s">
        <v>43</v>
      </c>
      <c r="J16" s="15" t="s">
        <v>47</v>
      </c>
      <c r="K16" s="15" t="n">
        <f aca="false">IFERROR(INDEX(Lookups!$D$3:$D$11,MATCH(H16&amp;"|"&amp;I16,Lookups!$C$3:$C$11,0)),"")</f>
        <v>3</v>
      </c>
      <c r="L16" s="15" t="str">
        <f aca="false">IFERROR(INDEX(Lookups!$H$3:$H$11,MATCH(K16&amp;"|"&amp;J16,Lookups!$G$3:$G$11,0)),"")</f>
        <v>High</v>
      </c>
      <c r="M16" s="16" t="str">
        <f aca="false">IFERROR(INDEX(Lookups!$L$3:$L$5,MATCH(L16,Lookups!$K$3:$K$5,0)),"")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16" s="16" t="str">
        <f aca="false">IFERROR(INDEX(Lookups!$M$3:$M$5,MATCH(L16,Lookups!$K$3:$K$5,0)),"")</f>
        <v>Individual OQ test case — positive and negative testing, executed and witnessed</v>
      </c>
      <c r="O16" s="16" t="s">
        <v>100</v>
      </c>
      <c r="P16" s="16" t="str">
        <f aca="false">IFERROR(INDEX(Lookups!$N$3:$N$5,MATCH(L16,Lookups!$K$3:$K$5,0)),"")</f>
        <v>Medium (to be confirmed after test execution)</v>
      </c>
      <c r="Q16" s="16"/>
    </row>
    <row r="17" customFormat="false" ht="60" hidden="false" customHeight="true" outlineLevel="0" collapsed="false">
      <c r="A17" s="15" t="s">
        <v>148</v>
      </c>
      <c r="B17" s="15" t="s">
        <v>149</v>
      </c>
      <c r="C17" s="16" t="s">
        <v>133</v>
      </c>
      <c r="D17" s="16" t="s">
        <v>150</v>
      </c>
      <c r="E17" s="15" t="s">
        <v>97</v>
      </c>
      <c r="F17" s="15" t="s">
        <v>98</v>
      </c>
      <c r="G17" s="16" t="s">
        <v>135</v>
      </c>
      <c r="H17" s="15" t="s">
        <v>45</v>
      </c>
      <c r="I17" s="15" t="s">
        <v>43</v>
      </c>
      <c r="J17" s="15" t="s">
        <v>45</v>
      </c>
      <c r="K17" s="15" t="n">
        <f aca="false">IFERROR(INDEX(Lookups!$D$3:$D$11,MATCH(H17&amp;"|"&amp;I17,Lookups!$C$3:$C$11,0)),"")</f>
        <v>3</v>
      </c>
      <c r="L17" s="15" t="str">
        <f aca="false">IFERROR(INDEX(Lookups!$H$3:$H$11,MATCH(K17&amp;"|"&amp;J17,Lookups!$G$3:$G$11,0)),"")</f>
        <v>High</v>
      </c>
      <c r="M17" s="16" t="str">
        <f aca="false">IFERROR(INDEX(Lookups!$L$3:$L$5,MATCH(L17,Lookups!$K$3:$K$5,0)),"")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17" s="16" t="str">
        <f aca="false">IFERROR(INDEX(Lookups!$M$3:$M$5,MATCH(L17,Lookups!$K$3:$K$5,0)),"")</f>
        <v>Individual OQ test case — positive and negative testing, executed and witnessed</v>
      </c>
      <c r="O17" s="16" t="s">
        <v>100</v>
      </c>
      <c r="P17" s="16" t="str">
        <f aca="false">IFERROR(INDEX(Lookups!$N$3:$N$5,MATCH(L17,Lookups!$K$3:$K$5,0)),"")</f>
        <v>Medium (to be confirmed after test execution)</v>
      </c>
      <c r="Q17" s="16"/>
    </row>
    <row r="18" customFormat="false" ht="60" hidden="false" customHeight="true" outlineLevel="0" collapsed="false">
      <c r="A18" s="15" t="s">
        <v>151</v>
      </c>
      <c r="B18" s="15" t="s">
        <v>152</v>
      </c>
      <c r="C18" s="16" t="s">
        <v>133</v>
      </c>
      <c r="D18" s="16" t="s">
        <v>153</v>
      </c>
      <c r="E18" s="15" t="s">
        <v>97</v>
      </c>
      <c r="F18" s="15" t="s">
        <v>98</v>
      </c>
      <c r="G18" s="16" t="s">
        <v>135</v>
      </c>
      <c r="H18" s="15" t="s">
        <v>45</v>
      </c>
      <c r="I18" s="15" t="s">
        <v>43</v>
      </c>
      <c r="J18" s="15" t="s">
        <v>47</v>
      </c>
      <c r="K18" s="15" t="n">
        <f aca="false">IFERROR(INDEX(Lookups!$D$3:$D$11,MATCH(H18&amp;"|"&amp;I18,Lookups!$C$3:$C$11,0)),"")</f>
        <v>3</v>
      </c>
      <c r="L18" s="15" t="str">
        <f aca="false">IFERROR(INDEX(Lookups!$H$3:$H$11,MATCH(K18&amp;"|"&amp;J18,Lookups!$G$3:$G$11,0)),"")</f>
        <v>High</v>
      </c>
      <c r="M18" s="16" t="str">
        <f aca="false">IFERROR(INDEX(Lookups!$L$3:$L$5,MATCH(L18,Lookups!$K$3:$K$5,0)),"")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18" s="16" t="str">
        <f aca="false">IFERROR(INDEX(Lookups!$M$3:$M$5,MATCH(L18,Lookups!$K$3:$K$5,0)),"")</f>
        <v>Individual OQ test case — positive and negative testing, executed and witnessed</v>
      </c>
      <c r="O18" s="16" t="s">
        <v>100</v>
      </c>
      <c r="P18" s="16" t="str">
        <f aca="false">IFERROR(INDEX(Lookups!$N$3:$N$5,MATCH(L18,Lookups!$K$3:$K$5,0)),"")</f>
        <v>Medium (to be confirmed after test execution)</v>
      </c>
      <c r="Q18" s="16"/>
    </row>
    <row r="19" customFormat="false" ht="60" hidden="false" customHeight="true" outlineLevel="0" collapsed="false">
      <c r="A19" s="15" t="s">
        <v>154</v>
      </c>
      <c r="B19" s="15" t="s">
        <v>155</v>
      </c>
      <c r="C19" s="16" t="s">
        <v>133</v>
      </c>
      <c r="D19" s="16" t="s">
        <v>156</v>
      </c>
      <c r="E19" s="15" t="s">
        <v>97</v>
      </c>
      <c r="F19" s="15" t="s">
        <v>98</v>
      </c>
      <c r="G19" s="16" t="s">
        <v>135</v>
      </c>
      <c r="H19" s="15" t="s">
        <v>45</v>
      </c>
      <c r="I19" s="15" t="s">
        <v>43</v>
      </c>
      <c r="J19" s="15" t="s">
        <v>45</v>
      </c>
      <c r="K19" s="15" t="n">
        <f aca="false">IFERROR(INDEX(Lookups!$D$3:$D$11,MATCH(H19&amp;"|"&amp;I19,Lookups!$C$3:$C$11,0)),"")</f>
        <v>3</v>
      </c>
      <c r="L19" s="15" t="str">
        <f aca="false">IFERROR(INDEX(Lookups!$H$3:$H$11,MATCH(K19&amp;"|"&amp;J19,Lookups!$G$3:$G$11,0)),"")</f>
        <v>High</v>
      </c>
      <c r="M19" s="16" t="str">
        <f aca="false">IFERROR(INDEX(Lookups!$L$3:$L$5,MATCH(L19,Lookups!$K$3:$K$5,0)),"")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19" s="16" t="str">
        <f aca="false">IFERROR(INDEX(Lookups!$M$3:$M$5,MATCH(L19,Lookups!$K$3:$K$5,0)),"")</f>
        <v>Individual OQ test case — positive and negative testing, executed and witnessed</v>
      </c>
      <c r="O19" s="16" t="s">
        <v>100</v>
      </c>
      <c r="P19" s="16" t="str">
        <f aca="false">IFERROR(INDEX(Lookups!$N$3:$N$5,MATCH(L19,Lookups!$K$3:$K$5,0)),"")</f>
        <v>Medium (to be confirmed after test execution)</v>
      </c>
      <c r="Q19" s="16"/>
    </row>
    <row r="20" customFormat="false" ht="60" hidden="false" customHeight="true" outlineLevel="0" collapsed="false">
      <c r="A20" s="15" t="s">
        <v>157</v>
      </c>
      <c r="B20" s="15" t="s">
        <v>158</v>
      </c>
      <c r="C20" s="16" t="s">
        <v>133</v>
      </c>
      <c r="D20" s="16" t="s">
        <v>159</v>
      </c>
      <c r="E20" s="15" t="s">
        <v>97</v>
      </c>
      <c r="F20" s="15" t="s">
        <v>98</v>
      </c>
      <c r="G20" s="16" t="s">
        <v>135</v>
      </c>
      <c r="H20" s="15" t="s">
        <v>45</v>
      </c>
      <c r="I20" s="15" t="s">
        <v>43</v>
      </c>
      <c r="J20" s="15" t="s">
        <v>45</v>
      </c>
      <c r="K20" s="15" t="n">
        <f aca="false">IFERROR(INDEX(Lookups!$D$3:$D$11,MATCH(H20&amp;"|"&amp;I20,Lookups!$C$3:$C$11,0)),"")</f>
        <v>3</v>
      </c>
      <c r="L20" s="15" t="str">
        <f aca="false">IFERROR(INDEX(Lookups!$H$3:$H$11,MATCH(K20&amp;"|"&amp;J20,Lookups!$G$3:$G$11,0)),"")</f>
        <v>High</v>
      </c>
      <c r="M20" s="16" t="str">
        <f aca="false">IFERROR(INDEX(Lookups!$L$3:$L$5,MATCH(L20,Lookups!$K$3:$K$5,0)),"")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20" s="16" t="str">
        <f aca="false">IFERROR(INDEX(Lookups!$M$3:$M$5,MATCH(L20,Lookups!$K$3:$K$5,0)),"")</f>
        <v>Individual OQ test case — positive and negative testing, executed and witnessed</v>
      </c>
      <c r="O20" s="16" t="s">
        <v>100</v>
      </c>
      <c r="P20" s="16" t="str">
        <f aca="false">IFERROR(INDEX(Lookups!$N$3:$N$5,MATCH(L20,Lookups!$K$3:$K$5,0)),"")</f>
        <v>Medium (to be confirmed after test execution)</v>
      </c>
      <c r="Q20" s="16"/>
    </row>
    <row r="21" customFormat="false" ht="60" hidden="false" customHeight="true" outlineLevel="0" collapsed="false">
      <c r="A21" s="15" t="s">
        <v>160</v>
      </c>
      <c r="B21" s="15" t="s">
        <v>161</v>
      </c>
      <c r="C21" s="16" t="s">
        <v>133</v>
      </c>
      <c r="D21" s="16" t="s">
        <v>162</v>
      </c>
      <c r="E21" s="15" t="s">
        <v>97</v>
      </c>
      <c r="F21" s="15" t="s">
        <v>98</v>
      </c>
      <c r="G21" s="16" t="s">
        <v>135</v>
      </c>
      <c r="H21" s="15" t="s">
        <v>43</v>
      </c>
      <c r="I21" s="15" t="s">
        <v>43</v>
      </c>
      <c r="J21" s="15" t="s">
        <v>47</v>
      </c>
      <c r="K21" s="15" t="n">
        <f aca="false">IFERROR(INDEX(Lookups!$D$3:$D$11,MATCH(H21&amp;"|"&amp;I21,Lookups!$C$3:$C$11,0)),"")</f>
        <v>3</v>
      </c>
      <c r="L21" s="15" t="str">
        <f aca="false">IFERROR(INDEX(Lookups!$H$3:$H$11,MATCH(K21&amp;"|"&amp;J21,Lookups!$G$3:$G$11,0)),"")</f>
        <v>High</v>
      </c>
      <c r="M21" s="16" t="str">
        <f aca="false">IFERROR(INDEX(Lookups!$L$3:$L$5,MATCH(L21,Lookups!$K$3:$K$5,0)),"")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21" s="16" t="str">
        <f aca="false">IFERROR(INDEX(Lookups!$M$3:$M$5,MATCH(L21,Lookups!$K$3:$K$5,0)),"")</f>
        <v>Individual OQ test case — positive and negative testing, executed and witnessed</v>
      </c>
      <c r="O21" s="16" t="s">
        <v>100</v>
      </c>
      <c r="P21" s="16" t="str">
        <f aca="false">IFERROR(INDEX(Lookups!$N$3:$N$5,MATCH(L21,Lookups!$K$3:$K$5,0)),"")</f>
        <v>Medium (to be confirmed after test execution)</v>
      </c>
      <c r="Q21" s="16"/>
    </row>
    <row r="22" customFormat="false" ht="60" hidden="false" customHeight="true" outlineLevel="0" collapsed="false">
      <c r="A22" s="15" t="s">
        <v>163</v>
      </c>
      <c r="B22" s="15" t="s">
        <v>164</v>
      </c>
      <c r="C22" s="16" t="s">
        <v>165</v>
      </c>
      <c r="D22" s="16" t="s">
        <v>166</v>
      </c>
      <c r="E22" s="15" t="s">
        <v>97</v>
      </c>
      <c r="F22" s="15" t="s">
        <v>98</v>
      </c>
      <c r="G22" s="16" t="s">
        <v>167</v>
      </c>
      <c r="H22" s="15" t="s">
        <v>45</v>
      </c>
      <c r="I22" s="15" t="s">
        <v>45</v>
      </c>
      <c r="J22" s="15" t="s">
        <v>45</v>
      </c>
      <c r="K22" s="15" t="n">
        <f aca="false">IFERROR(INDEX(Lookups!$D$3:$D$11,MATCH(H22&amp;"|"&amp;I22,Lookups!$C$3:$C$11,0)),"")</f>
        <v>2</v>
      </c>
      <c r="L22" s="15" t="str">
        <f aca="false">IFERROR(INDEX(Lookups!$H$3:$H$11,MATCH(K22&amp;"|"&amp;J22,Lookups!$G$3:$G$11,0)),"")</f>
        <v>Medium</v>
      </c>
      <c r="M22" s="16" t="str">
        <f aca="false">IFERROR(INDEX(Lookups!$L$3:$L$5,MATCH(L22,Lookups!$K$3:$K$5,0)),"")</f>
        <v>Specify in the Functional Specification and verify by individual OQ test case (positive testing). Procedural control where user judgement is involved.</v>
      </c>
      <c r="N22" s="16" t="str">
        <f aca="false">IFERROR(INDEX(Lookups!$M$3:$M$5,MATCH(L22,Lookups!$K$3:$K$5,0)),"")</f>
        <v>Individual OQ test case — positive testing</v>
      </c>
      <c r="O22" s="16" t="s">
        <v>100</v>
      </c>
      <c r="P22" s="16" t="str">
        <f aca="false">IFERROR(INDEX(Lookups!$N$3:$N$5,MATCH(L22,Lookups!$K$3:$K$5,0)),"")</f>
        <v>Low</v>
      </c>
      <c r="Q22" s="16"/>
    </row>
    <row r="23" customFormat="false" ht="60" hidden="false" customHeight="true" outlineLevel="0" collapsed="false">
      <c r="A23" s="15" t="s">
        <v>168</v>
      </c>
      <c r="B23" s="15" t="s">
        <v>169</v>
      </c>
      <c r="C23" s="16" t="s">
        <v>165</v>
      </c>
      <c r="D23" s="16" t="s">
        <v>170</v>
      </c>
      <c r="E23" s="15" t="s">
        <v>171</v>
      </c>
      <c r="F23" s="15" t="s">
        <v>98</v>
      </c>
      <c r="G23" s="16" t="s">
        <v>167</v>
      </c>
      <c r="H23" s="15" t="s">
        <v>45</v>
      </c>
      <c r="I23" s="15" t="s">
        <v>45</v>
      </c>
      <c r="J23" s="15" t="s">
        <v>45</v>
      </c>
      <c r="K23" s="15" t="n">
        <f aca="false">IFERROR(INDEX(Lookups!$D$3:$D$11,MATCH(H23&amp;"|"&amp;I23,Lookups!$C$3:$C$11,0)),"")</f>
        <v>2</v>
      </c>
      <c r="L23" s="15" t="str">
        <f aca="false">IFERROR(INDEX(Lookups!$H$3:$H$11,MATCH(K23&amp;"|"&amp;J23,Lookups!$G$3:$G$11,0)),"")</f>
        <v>Medium</v>
      </c>
      <c r="M23" s="16" t="str">
        <f aca="false">IFERROR(INDEX(Lookups!$L$3:$L$5,MATCH(L23,Lookups!$K$3:$K$5,0)),"")</f>
        <v>Specify in the Functional Specification and verify by individual OQ test case (positive testing). Procedural control where user judgement is involved.</v>
      </c>
      <c r="N23" s="16" t="str">
        <f aca="false">IFERROR(INDEX(Lookups!$M$3:$M$5,MATCH(L23,Lookups!$K$3:$K$5,0)),"")</f>
        <v>Individual OQ test case — positive testing</v>
      </c>
      <c r="O23" s="16" t="s">
        <v>100</v>
      </c>
      <c r="P23" s="16" t="str">
        <f aca="false">IFERROR(INDEX(Lookups!$N$3:$N$5,MATCH(L23,Lookups!$K$3:$K$5,0)),"")</f>
        <v>Low</v>
      </c>
      <c r="Q23" s="16"/>
    </row>
    <row r="24" customFormat="false" ht="60" hidden="false" customHeight="true" outlineLevel="0" collapsed="false">
      <c r="A24" s="15" t="s">
        <v>172</v>
      </c>
      <c r="B24" s="15" t="s">
        <v>173</v>
      </c>
      <c r="C24" s="16" t="s">
        <v>165</v>
      </c>
      <c r="D24" s="16" t="s">
        <v>174</v>
      </c>
      <c r="E24" s="15" t="s">
        <v>97</v>
      </c>
      <c r="F24" s="15" t="s">
        <v>98</v>
      </c>
      <c r="G24" s="16" t="s">
        <v>175</v>
      </c>
      <c r="H24" s="15" t="s">
        <v>43</v>
      </c>
      <c r="I24" s="15" t="s">
        <v>45</v>
      </c>
      <c r="J24" s="15" t="s">
        <v>47</v>
      </c>
      <c r="K24" s="15" t="n">
        <f aca="false">IFERROR(INDEX(Lookups!$D$3:$D$11,MATCH(H24&amp;"|"&amp;I24,Lookups!$C$3:$C$11,0)),"")</f>
        <v>3</v>
      </c>
      <c r="L24" s="15" t="str">
        <f aca="false">IFERROR(INDEX(Lookups!$H$3:$H$11,MATCH(K24&amp;"|"&amp;J24,Lookups!$G$3:$G$11,0)),"")</f>
        <v>High</v>
      </c>
      <c r="M24" s="16" t="str">
        <f aca="false">IFERROR(INDEX(Lookups!$L$3:$L$5,MATCH(L24,Lookups!$K$3:$K$5,0)),"")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24" s="16" t="str">
        <f aca="false">IFERROR(INDEX(Lookups!$M$3:$M$5,MATCH(L24,Lookups!$K$3:$K$5,0)),"")</f>
        <v>Individual OQ test case — positive and negative testing, executed and witnessed</v>
      </c>
      <c r="O24" s="16" t="s">
        <v>100</v>
      </c>
      <c r="P24" s="16" t="str">
        <f aca="false">IFERROR(INDEX(Lookups!$N$3:$N$5,MATCH(L24,Lookups!$K$3:$K$5,0)),"")</f>
        <v>Medium (to be confirmed after test execution)</v>
      </c>
      <c r="Q24" s="16"/>
    </row>
    <row r="25" customFormat="false" ht="60" hidden="false" customHeight="true" outlineLevel="0" collapsed="false">
      <c r="A25" s="15" t="s">
        <v>176</v>
      </c>
      <c r="B25" s="15" t="s">
        <v>177</v>
      </c>
      <c r="C25" s="16" t="s">
        <v>165</v>
      </c>
      <c r="D25" s="16" t="s">
        <v>178</v>
      </c>
      <c r="E25" s="15" t="s">
        <v>97</v>
      </c>
      <c r="F25" s="15" t="s">
        <v>98</v>
      </c>
      <c r="G25" s="16" t="s">
        <v>179</v>
      </c>
      <c r="H25" s="15" t="s">
        <v>43</v>
      </c>
      <c r="I25" s="15" t="s">
        <v>45</v>
      </c>
      <c r="J25" s="15" t="s">
        <v>47</v>
      </c>
      <c r="K25" s="15" t="n">
        <f aca="false">IFERROR(INDEX(Lookups!$D$3:$D$11,MATCH(H25&amp;"|"&amp;I25,Lookups!$C$3:$C$11,0)),"")</f>
        <v>3</v>
      </c>
      <c r="L25" s="15" t="str">
        <f aca="false">IFERROR(INDEX(Lookups!$H$3:$H$11,MATCH(K25&amp;"|"&amp;J25,Lookups!$G$3:$G$11,0)),"")</f>
        <v>High</v>
      </c>
      <c r="M25" s="16" t="str">
        <f aca="false">IFERROR(INDEX(Lookups!$L$3:$L$5,MATCH(L25,Lookups!$K$3:$K$5,0)),"")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25" s="16" t="str">
        <f aca="false">IFERROR(INDEX(Lookups!$M$3:$M$5,MATCH(L25,Lookups!$K$3:$K$5,0)),"")</f>
        <v>Individual OQ test case — positive and negative testing, executed and witnessed</v>
      </c>
      <c r="O25" s="16" t="s">
        <v>100</v>
      </c>
      <c r="P25" s="16" t="str">
        <f aca="false">IFERROR(INDEX(Lookups!$N$3:$N$5,MATCH(L25,Lookups!$K$3:$K$5,0)),"")</f>
        <v>Medium (to be confirmed after test execution)</v>
      </c>
      <c r="Q25" s="16"/>
    </row>
    <row r="26" customFormat="false" ht="60" hidden="false" customHeight="true" outlineLevel="0" collapsed="false">
      <c r="A26" s="15" t="s">
        <v>180</v>
      </c>
      <c r="B26" s="15" t="s">
        <v>181</v>
      </c>
      <c r="C26" s="16" t="s">
        <v>165</v>
      </c>
      <c r="D26" s="16" t="s">
        <v>182</v>
      </c>
      <c r="E26" s="15" t="s">
        <v>97</v>
      </c>
      <c r="F26" s="15" t="s">
        <v>98</v>
      </c>
      <c r="G26" s="16" t="s">
        <v>183</v>
      </c>
      <c r="H26" s="15" t="s">
        <v>43</v>
      </c>
      <c r="I26" s="15" t="s">
        <v>45</v>
      </c>
      <c r="J26" s="15" t="s">
        <v>47</v>
      </c>
      <c r="K26" s="15" t="n">
        <f aca="false">IFERROR(INDEX(Lookups!$D$3:$D$11,MATCH(H26&amp;"|"&amp;I26,Lookups!$C$3:$C$11,0)),"")</f>
        <v>3</v>
      </c>
      <c r="L26" s="15" t="str">
        <f aca="false">IFERROR(INDEX(Lookups!$H$3:$H$11,MATCH(K26&amp;"|"&amp;J26,Lookups!$G$3:$G$11,0)),"")</f>
        <v>High</v>
      </c>
      <c r="M26" s="16" t="str">
        <f aca="false">IFERROR(INDEX(Lookups!$L$3:$L$5,MATCH(L26,Lookups!$K$3:$K$5,0)),"")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26" s="16" t="str">
        <f aca="false">IFERROR(INDEX(Lookups!$M$3:$M$5,MATCH(L26,Lookups!$K$3:$K$5,0)),"")</f>
        <v>Individual OQ test case — positive and negative testing, executed and witnessed</v>
      </c>
      <c r="O26" s="16" t="s">
        <v>100</v>
      </c>
      <c r="P26" s="16" t="str">
        <f aca="false">IFERROR(INDEX(Lookups!$N$3:$N$5,MATCH(L26,Lookups!$K$3:$K$5,0)),"")</f>
        <v>Medium (to be confirmed after test execution)</v>
      </c>
      <c r="Q26" s="16"/>
    </row>
    <row r="27" customFormat="false" ht="60" hidden="false" customHeight="true" outlineLevel="0" collapsed="false">
      <c r="A27" s="15" t="s">
        <v>184</v>
      </c>
      <c r="B27" s="15" t="s">
        <v>185</v>
      </c>
      <c r="C27" s="16" t="s">
        <v>165</v>
      </c>
      <c r="D27" s="16" t="s">
        <v>186</v>
      </c>
      <c r="E27" s="15" t="s">
        <v>97</v>
      </c>
      <c r="F27" s="15" t="s">
        <v>98</v>
      </c>
      <c r="G27" s="16" t="s">
        <v>167</v>
      </c>
      <c r="H27" s="15" t="s">
        <v>45</v>
      </c>
      <c r="I27" s="15" t="s">
        <v>47</v>
      </c>
      <c r="J27" s="15" t="s">
        <v>45</v>
      </c>
      <c r="K27" s="15" t="n">
        <f aca="false">IFERROR(INDEX(Lookups!$D$3:$D$11,MATCH(H27&amp;"|"&amp;I27,Lookups!$C$3:$C$11,0)),"")</f>
        <v>1</v>
      </c>
      <c r="L27" s="15" t="str">
        <f aca="false">IFERROR(INDEX(Lookups!$H$3:$H$11,MATCH(K27&amp;"|"&amp;J27,Lookups!$G$3:$G$11,0)),"")</f>
        <v>Low</v>
      </c>
      <c r="M27" s="16" t="str">
        <f aca="false">IFERROR(INDEX(Lookups!$L$3:$L$5,MATCH(L27,Lookups!$K$3:$K$5,0)),"")</f>
        <v>Verify by grouped OQ execution or PQ/UAT scenario. No additional design control required beyond standard development and code review.</v>
      </c>
      <c r="N27" s="16" t="str">
        <f aca="false">IFERROR(INDEX(Lookups!$M$3:$M$5,MATCH(L27,Lookups!$K$3:$K$5,0)),"")</f>
        <v>Grouped OQ / PQ-UAT scenario verification</v>
      </c>
      <c r="O27" s="16" t="s">
        <v>100</v>
      </c>
      <c r="P27" s="16" t="str">
        <f aca="false">IFERROR(INDEX(Lookups!$N$3:$N$5,MATCH(L27,Lookups!$K$3:$K$5,0)),"")</f>
        <v>Low</v>
      </c>
      <c r="Q27" s="16"/>
    </row>
    <row r="28" customFormat="false" ht="60" hidden="false" customHeight="true" outlineLevel="0" collapsed="false">
      <c r="A28" s="15" t="s">
        <v>187</v>
      </c>
      <c r="B28" s="15" t="s">
        <v>188</v>
      </c>
      <c r="C28" s="16" t="s">
        <v>165</v>
      </c>
      <c r="D28" s="16" t="s">
        <v>189</v>
      </c>
      <c r="E28" s="15" t="s">
        <v>97</v>
      </c>
      <c r="F28" s="15" t="s">
        <v>98</v>
      </c>
      <c r="G28" s="16" t="s">
        <v>167</v>
      </c>
      <c r="H28" s="15" t="s">
        <v>47</v>
      </c>
      <c r="I28" s="15" t="s">
        <v>47</v>
      </c>
      <c r="J28" s="15" t="s">
        <v>43</v>
      </c>
      <c r="K28" s="15" t="n">
        <f aca="false">IFERROR(INDEX(Lookups!$D$3:$D$11,MATCH(H28&amp;"|"&amp;I28,Lookups!$C$3:$C$11,0)),"")</f>
        <v>1</v>
      </c>
      <c r="L28" s="15" t="str">
        <f aca="false">IFERROR(INDEX(Lookups!$H$3:$H$11,MATCH(K28&amp;"|"&amp;J28,Lookups!$G$3:$G$11,0)),"")</f>
        <v>Low</v>
      </c>
      <c r="M28" s="16" t="str">
        <f aca="false">IFERROR(INDEX(Lookups!$L$3:$L$5,MATCH(L28,Lookups!$K$3:$K$5,0)),"")</f>
        <v>Verify by grouped OQ execution or PQ/UAT scenario. No additional design control required beyond standard development and code review.</v>
      </c>
      <c r="N28" s="16" t="str">
        <f aca="false">IFERROR(INDEX(Lookups!$M$3:$M$5,MATCH(L28,Lookups!$K$3:$K$5,0)),"")</f>
        <v>Grouped OQ / PQ-UAT scenario verification</v>
      </c>
      <c r="O28" s="16" t="s">
        <v>100</v>
      </c>
      <c r="P28" s="16" t="str">
        <f aca="false">IFERROR(INDEX(Lookups!$N$3:$N$5,MATCH(L28,Lookups!$K$3:$K$5,0)),"")</f>
        <v>Low</v>
      </c>
      <c r="Q28" s="16"/>
    </row>
    <row r="29" customFormat="false" ht="60" hidden="false" customHeight="true" outlineLevel="0" collapsed="false">
      <c r="A29" s="15" t="s">
        <v>190</v>
      </c>
      <c r="B29" s="15" t="s">
        <v>191</v>
      </c>
      <c r="C29" s="16" t="s">
        <v>165</v>
      </c>
      <c r="D29" s="16" t="s">
        <v>192</v>
      </c>
      <c r="E29" s="15" t="s">
        <v>97</v>
      </c>
      <c r="F29" s="15" t="s">
        <v>98</v>
      </c>
      <c r="G29" s="16" t="s">
        <v>167</v>
      </c>
      <c r="H29" s="15" t="s">
        <v>45</v>
      </c>
      <c r="I29" s="15" t="s">
        <v>45</v>
      </c>
      <c r="J29" s="15" t="s">
        <v>45</v>
      </c>
      <c r="K29" s="15" t="n">
        <f aca="false">IFERROR(INDEX(Lookups!$D$3:$D$11,MATCH(H29&amp;"|"&amp;I29,Lookups!$C$3:$C$11,0)),"")</f>
        <v>2</v>
      </c>
      <c r="L29" s="15" t="str">
        <f aca="false">IFERROR(INDEX(Lookups!$H$3:$H$11,MATCH(K29&amp;"|"&amp;J29,Lookups!$G$3:$G$11,0)),"")</f>
        <v>Medium</v>
      </c>
      <c r="M29" s="16" t="str">
        <f aca="false">IFERROR(INDEX(Lookups!$L$3:$L$5,MATCH(L29,Lookups!$K$3:$K$5,0)),"")</f>
        <v>Specify in the Functional Specification and verify by individual OQ test case (positive testing). Procedural control where user judgement is involved.</v>
      </c>
      <c r="N29" s="16" t="str">
        <f aca="false">IFERROR(INDEX(Lookups!$M$3:$M$5,MATCH(L29,Lookups!$K$3:$K$5,0)),"")</f>
        <v>Individual OQ test case — positive testing</v>
      </c>
      <c r="O29" s="16" t="s">
        <v>100</v>
      </c>
      <c r="P29" s="16" t="str">
        <f aca="false">IFERROR(INDEX(Lookups!$N$3:$N$5,MATCH(L29,Lookups!$K$3:$K$5,0)),"")</f>
        <v>Low</v>
      </c>
      <c r="Q29" s="16"/>
    </row>
    <row r="30" customFormat="false" ht="60" hidden="false" customHeight="true" outlineLevel="0" collapsed="false">
      <c r="A30" s="15" t="s">
        <v>193</v>
      </c>
      <c r="B30" s="15" t="s">
        <v>194</v>
      </c>
      <c r="C30" s="16" t="s">
        <v>165</v>
      </c>
      <c r="D30" s="16" t="s">
        <v>195</v>
      </c>
      <c r="E30" s="15" t="s">
        <v>97</v>
      </c>
      <c r="F30" s="15" t="s">
        <v>98</v>
      </c>
      <c r="G30" s="16" t="s">
        <v>167</v>
      </c>
      <c r="H30" s="15" t="s">
        <v>45</v>
      </c>
      <c r="I30" s="15" t="s">
        <v>47</v>
      </c>
      <c r="J30" s="15" t="s">
        <v>45</v>
      </c>
      <c r="K30" s="15" t="n">
        <f aca="false">IFERROR(INDEX(Lookups!$D$3:$D$11,MATCH(H30&amp;"|"&amp;I30,Lookups!$C$3:$C$11,0)),"")</f>
        <v>1</v>
      </c>
      <c r="L30" s="15" t="str">
        <f aca="false">IFERROR(INDEX(Lookups!$H$3:$H$11,MATCH(K30&amp;"|"&amp;J30,Lookups!$G$3:$G$11,0)),"")</f>
        <v>Low</v>
      </c>
      <c r="M30" s="16" t="str">
        <f aca="false">IFERROR(INDEX(Lookups!$L$3:$L$5,MATCH(L30,Lookups!$K$3:$K$5,0)),"")</f>
        <v>Verify by grouped OQ execution or PQ/UAT scenario. No additional design control required beyond standard development and code review.</v>
      </c>
      <c r="N30" s="16" t="str">
        <f aca="false">IFERROR(INDEX(Lookups!$M$3:$M$5,MATCH(L30,Lookups!$K$3:$K$5,0)),"")</f>
        <v>Grouped OQ / PQ-UAT scenario verification</v>
      </c>
      <c r="O30" s="16" t="s">
        <v>100</v>
      </c>
      <c r="P30" s="16" t="str">
        <f aca="false">IFERROR(INDEX(Lookups!$N$3:$N$5,MATCH(L30,Lookups!$K$3:$K$5,0)),"")</f>
        <v>Low</v>
      </c>
      <c r="Q30" s="16"/>
    </row>
    <row r="31" customFormat="false" ht="60" hidden="false" customHeight="true" outlineLevel="0" collapsed="false">
      <c r="A31" s="15" t="s">
        <v>196</v>
      </c>
      <c r="B31" s="15" t="s">
        <v>197</v>
      </c>
      <c r="C31" s="16" t="s">
        <v>165</v>
      </c>
      <c r="D31" s="16" t="s">
        <v>198</v>
      </c>
      <c r="E31" s="15" t="s">
        <v>97</v>
      </c>
      <c r="F31" s="15" t="s">
        <v>98</v>
      </c>
      <c r="G31" s="16" t="s">
        <v>199</v>
      </c>
      <c r="H31" s="15" t="s">
        <v>43</v>
      </c>
      <c r="I31" s="15" t="s">
        <v>45</v>
      </c>
      <c r="J31" s="15" t="s">
        <v>45</v>
      </c>
      <c r="K31" s="15" t="n">
        <f aca="false">IFERROR(INDEX(Lookups!$D$3:$D$11,MATCH(H31&amp;"|"&amp;I31,Lookups!$C$3:$C$11,0)),"")</f>
        <v>3</v>
      </c>
      <c r="L31" s="15" t="str">
        <f aca="false">IFERROR(INDEX(Lookups!$H$3:$H$11,MATCH(K31&amp;"|"&amp;J31,Lookups!$G$3:$G$11,0)),"")</f>
        <v>High</v>
      </c>
      <c r="M31" s="16" t="str">
        <f aca="false">IFERROR(INDEX(Lookups!$L$3:$L$5,MATCH(L31,Lookups!$K$3:$K$5,0)),"")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31" s="16" t="str">
        <f aca="false">IFERROR(INDEX(Lookups!$M$3:$M$5,MATCH(L31,Lookups!$K$3:$K$5,0)),"")</f>
        <v>Individual OQ test case — positive and negative testing, executed and witnessed</v>
      </c>
      <c r="O31" s="16" t="s">
        <v>100</v>
      </c>
      <c r="P31" s="16" t="str">
        <f aca="false">IFERROR(INDEX(Lookups!$N$3:$N$5,MATCH(L31,Lookups!$K$3:$K$5,0)),"")</f>
        <v>Medium (to be confirmed after test execution)</v>
      </c>
      <c r="Q31" s="16"/>
    </row>
    <row r="32" customFormat="false" ht="60" hidden="false" customHeight="true" outlineLevel="0" collapsed="false">
      <c r="A32" s="15" t="s">
        <v>200</v>
      </c>
      <c r="B32" s="15" t="s">
        <v>201</v>
      </c>
      <c r="C32" s="16" t="s">
        <v>202</v>
      </c>
      <c r="D32" s="16" t="s">
        <v>203</v>
      </c>
      <c r="E32" s="15" t="s">
        <v>97</v>
      </c>
      <c r="F32" s="15" t="s">
        <v>98</v>
      </c>
      <c r="G32" s="16" t="s">
        <v>204</v>
      </c>
      <c r="H32" s="15" t="s">
        <v>43</v>
      </c>
      <c r="I32" s="15" t="s">
        <v>45</v>
      </c>
      <c r="J32" s="15" t="s">
        <v>47</v>
      </c>
      <c r="K32" s="15" t="n">
        <f aca="false">IFERROR(INDEX(Lookups!$D$3:$D$11,MATCH(H32&amp;"|"&amp;I32,Lookups!$C$3:$C$11,0)),"")</f>
        <v>3</v>
      </c>
      <c r="L32" s="15" t="str">
        <f aca="false">IFERROR(INDEX(Lookups!$H$3:$H$11,MATCH(K32&amp;"|"&amp;J32,Lookups!$G$3:$G$11,0)),"")</f>
        <v>High</v>
      </c>
      <c r="M32" s="16" t="str">
        <f aca="false">IFERROR(INDEX(Lookups!$L$3:$L$5,MATCH(L32,Lookups!$K$3:$K$5,0)),"")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32" s="16" t="str">
        <f aca="false">IFERROR(INDEX(Lookups!$M$3:$M$5,MATCH(L32,Lookups!$K$3:$K$5,0)),"")</f>
        <v>Individual OQ test case — positive and negative testing, executed and witnessed</v>
      </c>
      <c r="O32" s="16" t="s">
        <v>100</v>
      </c>
      <c r="P32" s="16" t="str">
        <f aca="false">IFERROR(INDEX(Lookups!$N$3:$N$5,MATCH(L32,Lookups!$K$3:$K$5,0)),"")</f>
        <v>Medium (to be confirmed after test execution)</v>
      </c>
      <c r="Q32" s="16"/>
    </row>
    <row r="33" customFormat="false" ht="60" hidden="false" customHeight="true" outlineLevel="0" collapsed="false">
      <c r="A33" s="15" t="s">
        <v>205</v>
      </c>
      <c r="B33" s="15" t="s">
        <v>206</v>
      </c>
      <c r="C33" s="16" t="s">
        <v>202</v>
      </c>
      <c r="D33" s="16" t="s">
        <v>207</v>
      </c>
      <c r="E33" s="15" t="s">
        <v>97</v>
      </c>
      <c r="F33" s="15" t="s">
        <v>98</v>
      </c>
      <c r="G33" s="16" t="s">
        <v>204</v>
      </c>
      <c r="H33" s="15" t="s">
        <v>45</v>
      </c>
      <c r="I33" s="15" t="s">
        <v>45</v>
      </c>
      <c r="J33" s="15" t="s">
        <v>45</v>
      </c>
      <c r="K33" s="15" t="n">
        <f aca="false">IFERROR(INDEX(Lookups!$D$3:$D$11,MATCH(H33&amp;"|"&amp;I33,Lookups!$C$3:$C$11,0)),"")</f>
        <v>2</v>
      </c>
      <c r="L33" s="15" t="str">
        <f aca="false">IFERROR(INDEX(Lookups!$H$3:$H$11,MATCH(K33&amp;"|"&amp;J33,Lookups!$G$3:$G$11,0)),"")</f>
        <v>Medium</v>
      </c>
      <c r="M33" s="16" t="str">
        <f aca="false">IFERROR(INDEX(Lookups!$L$3:$L$5,MATCH(L33,Lookups!$K$3:$K$5,0)),"")</f>
        <v>Specify in the Functional Specification and verify by individual OQ test case (positive testing). Procedural control where user judgement is involved.</v>
      </c>
      <c r="N33" s="16" t="str">
        <f aca="false">IFERROR(INDEX(Lookups!$M$3:$M$5,MATCH(L33,Lookups!$K$3:$K$5,0)),"")</f>
        <v>Individual OQ test case — positive testing</v>
      </c>
      <c r="O33" s="16" t="s">
        <v>100</v>
      </c>
      <c r="P33" s="16" t="str">
        <f aca="false">IFERROR(INDEX(Lookups!$N$3:$N$5,MATCH(L33,Lookups!$K$3:$K$5,0)),"")</f>
        <v>Low</v>
      </c>
      <c r="Q33" s="16"/>
    </row>
    <row r="34" customFormat="false" ht="60" hidden="false" customHeight="true" outlineLevel="0" collapsed="false">
      <c r="A34" s="15" t="s">
        <v>208</v>
      </c>
      <c r="B34" s="15" t="s">
        <v>209</v>
      </c>
      <c r="C34" s="16" t="s">
        <v>202</v>
      </c>
      <c r="D34" s="16" t="s">
        <v>210</v>
      </c>
      <c r="E34" s="15" t="s">
        <v>97</v>
      </c>
      <c r="F34" s="15" t="s">
        <v>98</v>
      </c>
      <c r="G34" s="16" t="s">
        <v>204</v>
      </c>
      <c r="H34" s="15" t="s">
        <v>45</v>
      </c>
      <c r="I34" s="15" t="s">
        <v>45</v>
      </c>
      <c r="J34" s="15" t="s">
        <v>45</v>
      </c>
      <c r="K34" s="15" t="n">
        <f aca="false">IFERROR(INDEX(Lookups!$D$3:$D$11,MATCH(H34&amp;"|"&amp;I34,Lookups!$C$3:$C$11,0)),"")</f>
        <v>2</v>
      </c>
      <c r="L34" s="15" t="str">
        <f aca="false">IFERROR(INDEX(Lookups!$H$3:$H$11,MATCH(K34&amp;"|"&amp;J34,Lookups!$G$3:$G$11,0)),"")</f>
        <v>Medium</v>
      </c>
      <c r="M34" s="16" t="str">
        <f aca="false">IFERROR(INDEX(Lookups!$L$3:$L$5,MATCH(L34,Lookups!$K$3:$K$5,0)),"")</f>
        <v>Specify in the Functional Specification and verify by individual OQ test case (positive testing). Procedural control where user judgement is involved.</v>
      </c>
      <c r="N34" s="16" t="str">
        <f aca="false">IFERROR(INDEX(Lookups!$M$3:$M$5,MATCH(L34,Lookups!$K$3:$K$5,0)),"")</f>
        <v>Individual OQ test case — positive testing</v>
      </c>
      <c r="O34" s="16" t="s">
        <v>100</v>
      </c>
      <c r="P34" s="16" t="str">
        <f aca="false">IFERROR(INDEX(Lookups!$N$3:$N$5,MATCH(L34,Lookups!$K$3:$K$5,0)),"")</f>
        <v>Low</v>
      </c>
      <c r="Q34" s="16"/>
    </row>
    <row r="35" customFormat="false" ht="60" hidden="false" customHeight="true" outlineLevel="0" collapsed="false">
      <c r="A35" s="15" t="s">
        <v>211</v>
      </c>
      <c r="B35" s="15" t="s">
        <v>212</v>
      </c>
      <c r="C35" s="16" t="s">
        <v>202</v>
      </c>
      <c r="D35" s="16" t="s">
        <v>213</v>
      </c>
      <c r="E35" s="15" t="s">
        <v>97</v>
      </c>
      <c r="F35" s="15" t="s">
        <v>98</v>
      </c>
      <c r="G35" s="16" t="s">
        <v>204</v>
      </c>
      <c r="H35" s="15" t="s">
        <v>45</v>
      </c>
      <c r="I35" s="15" t="s">
        <v>45</v>
      </c>
      <c r="J35" s="15" t="s">
        <v>45</v>
      </c>
      <c r="K35" s="15" t="n">
        <f aca="false">IFERROR(INDEX(Lookups!$D$3:$D$11,MATCH(H35&amp;"|"&amp;I35,Lookups!$C$3:$C$11,0)),"")</f>
        <v>2</v>
      </c>
      <c r="L35" s="15" t="str">
        <f aca="false">IFERROR(INDEX(Lookups!$H$3:$H$11,MATCH(K35&amp;"|"&amp;J35,Lookups!$G$3:$G$11,0)),"")</f>
        <v>Medium</v>
      </c>
      <c r="M35" s="16" t="str">
        <f aca="false">IFERROR(INDEX(Lookups!$L$3:$L$5,MATCH(L35,Lookups!$K$3:$K$5,0)),"")</f>
        <v>Specify in the Functional Specification and verify by individual OQ test case (positive testing). Procedural control where user judgement is involved.</v>
      </c>
      <c r="N35" s="16" t="str">
        <f aca="false">IFERROR(INDEX(Lookups!$M$3:$M$5,MATCH(L35,Lookups!$K$3:$K$5,0)),"")</f>
        <v>Individual OQ test case — positive testing</v>
      </c>
      <c r="O35" s="16" t="s">
        <v>100</v>
      </c>
      <c r="P35" s="16" t="str">
        <f aca="false">IFERROR(INDEX(Lookups!$N$3:$N$5,MATCH(L35,Lookups!$K$3:$K$5,0)),"")</f>
        <v>Low</v>
      </c>
      <c r="Q35" s="16"/>
    </row>
    <row r="36" customFormat="false" ht="60" hidden="false" customHeight="true" outlineLevel="0" collapsed="false">
      <c r="A36" s="15" t="s">
        <v>214</v>
      </c>
      <c r="B36" s="15" t="s">
        <v>215</v>
      </c>
      <c r="C36" s="16" t="s">
        <v>202</v>
      </c>
      <c r="D36" s="16" t="s">
        <v>216</v>
      </c>
      <c r="E36" s="15" t="s">
        <v>97</v>
      </c>
      <c r="F36" s="15" t="s">
        <v>98</v>
      </c>
      <c r="G36" s="16" t="s">
        <v>204</v>
      </c>
      <c r="H36" s="15" t="s">
        <v>45</v>
      </c>
      <c r="I36" s="15" t="s">
        <v>45</v>
      </c>
      <c r="J36" s="15" t="s">
        <v>45</v>
      </c>
      <c r="K36" s="15" t="n">
        <f aca="false">IFERROR(INDEX(Lookups!$D$3:$D$11,MATCH(H36&amp;"|"&amp;I36,Lookups!$C$3:$C$11,0)),"")</f>
        <v>2</v>
      </c>
      <c r="L36" s="15" t="str">
        <f aca="false">IFERROR(INDEX(Lookups!$H$3:$H$11,MATCH(K36&amp;"|"&amp;J36,Lookups!$G$3:$G$11,0)),"")</f>
        <v>Medium</v>
      </c>
      <c r="M36" s="16" t="str">
        <f aca="false">IFERROR(INDEX(Lookups!$L$3:$L$5,MATCH(L36,Lookups!$K$3:$K$5,0)),"")</f>
        <v>Specify in the Functional Specification and verify by individual OQ test case (positive testing). Procedural control where user judgement is involved.</v>
      </c>
      <c r="N36" s="16" t="str">
        <f aca="false">IFERROR(INDEX(Lookups!$M$3:$M$5,MATCH(L36,Lookups!$K$3:$K$5,0)),"")</f>
        <v>Individual OQ test case — positive testing</v>
      </c>
      <c r="O36" s="16" t="s">
        <v>100</v>
      </c>
      <c r="P36" s="16" t="str">
        <f aca="false">IFERROR(INDEX(Lookups!$N$3:$N$5,MATCH(L36,Lookups!$K$3:$K$5,0)),"")</f>
        <v>Low</v>
      </c>
      <c r="Q36" s="16"/>
    </row>
    <row r="37" customFormat="false" ht="60" hidden="false" customHeight="true" outlineLevel="0" collapsed="false">
      <c r="A37" s="15" t="s">
        <v>217</v>
      </c>
      <c r="B37" s="15" t="s">
        <v>218</v>
      </c>
      <c r="C37" s="16" t="s">
        <v>202</v>
      </c>
      <c r="D37" s="16" t="s">
        <v>219</v>
      </c>
      <c r="E37" s="15" t="s">
        <v>97</v>
      </c>
      <c r="F37" s="15" t="s">
        <v>98</v>
      </c>
      <c r="G37" s="16" t="s">
        <v>204</v>
      </c>
      <c r="H37" s="15" t="s">
        <v>43</v>
      </c>
      <c r="I37" s="15" t="s">
        <v>43</v>
      </c>
      <c r="J37" s="15" t="s">
        <v>47</v>
      </c>
      <c r="K37" s="15" t="n">
        <f aca="false">IFERROR(INDEX(Lookups!$D$3:$D$11,MATCH(H37&amp;"|"&amp;I37,Lookups!$C$3:$C$11,0)),"")</f>
        <v>3</v>
      </c>
      <c r="L37" s="15" t="str">
        <f aca="false">IFERROR(INDEX(Lookups!$H$3:$H$11,MATCH(K37&amp;"|"&amp;J37,Lookups!$G$3:$G$11,0)),"")</f>
        <v>High</v>
      </c>
      <c r="M37" s="16" t="str">
        <f aca="false">IFERROR(INDEX(Lookups!$L$3:$L$5,MATCH(L37,Lookups!$K$3:$K$5,0)),"")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37" s="16" t="str">
        <f aca="false">IFERROR(INDEX(Lookups!$M$3:$M$5,MATCH(L37,Lookups!$K$3:$K$5,0)),"")</f>
        <v>Individual OQ test case — positive and negative testing, executed and witnessed</v>
      </c>
      <c r="O37" s="16" t="s">
        <v>100</v>
      </c>
      <c r="P37" s="16" t="str">
        <f aca="false">IFERROR(INDEX(Lookups!$N$3:$N$5,MATCH(L37,Lookups!$K$3:$K$5,0)),"")</f>
        <v>Medium (to be confirmed after test execution)</v>
      </c>
      <c r="Q37" s="16"/>
    </row>
    <row r="38" customFormat="false" ht="60" hidden="false" customHeight="true" outlineLevel="0" collapsed="false">
      <c r="A38" s="15" t="s">
        <v>220</v>
      </c>
      <c r="B38" s="15" t="s">
        <v>221</v>
      </c>
      <c r="C38" s="16" t="s">
        <v>202</v>
      </c>
      <c r="D38" s="16" t="s">
        <v>222</v>
      </c>
      <c r="E38" s="15" t="s">
        <v>97</v>
      </c>
      <c r="F38" s="15" t="s">
        <v>98</v>
      </c>
      <c r="G38" s="16" t="s">
        <v>204</v>
      </c>
      <c r="H38" s="15" t="s">
        <v>43</v>
      </c>
      <c r="I38" s="15" t="s">
        <v>43</v>
      </c>
      <c r="J38" s="15" t="s">
        <v>47</v>
      </c>
      <c r="K38" s="15" t="n">
        <f aca="false">IFERROR(INDEX(Lookups!$D$3:$D$11,MATCH(H38&amp;"|"&amp;I38,Lookups!$C$3:$C$11,0)),"")</f>
        <v>3</v>
      </c>
      <c r="L38" s="15" t="str">
        <f aca="false">IFERROR(INDEX(Lookups!$H$3:$H$11,MATCH(K38&amp;"|"&amp;J38,Lookups!$G$3:$G$11,0)),"")</f>
        <v>High</v>
      </c>
      <c r="M38" s="16" t="str">
        <f aca="false">IFERROR(INDEX(Lookups!$L$3:$L$5,MATCH(L38,Lookups!$K$3:$K$5,0)),"")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38" s="16" t="str">
        <f aca="false">IFERROR(INDEX(Lookups!$M$3:$M$5,MATCH(L38,Lookups!$K$3:$K$5,0)),"")</f>
        <v>Individual OQ test case — positive and negative testing, executed and witnessed</v>
      </c>
      <c r="O38" s="16" t="s">
        <v>100</v>
      </c>
      <c r="P38" s="16" t="str">
        <f aca="false">IFERROR(INDEX(Lookups!$N$3:$N$5,MATCH(L38,Lookups!$K$3:$K$5,0)),"")</f>
        <v>Medium (to be confirmed after test execution)</v>
      </c>
      <c r="Q38" s="16"/>
    </row>
    <row r="39" customFormat="false" ht="60" hidden="false" customHeight="true" outlineLevel="0" collapsed="false">
      <c r="A39" s="15" t="s">
        <v>223</v>
      </c>
      <c r="B39" s="15" t="s">
        <v>224</v>
      </c>
      <c r="C39" s="16" t="s">
        <v>202</v>
      </c>
      <c r="D39" s="16" t="s">
        <v>225</v>
      </c>
      <c r="E39" s="15" t="s">
        <v>97</v>
      </c>
      <c r="F39" s="15" t="s">
        <v>98</v>
      </c>
      <c r="G39" s="16" t="s">
        <v>204</v>
      </c>
      <c r="H39" s="15" t="s">
        <v>43</v>
      </c>
      <c r="I39" s="15" t="s">
        <v>45</v>
      </c>
      <c r="J39" s="15" t="s">
        <v>45</v>
      </c>
      <c r="K39" s="15" t="n">
        <f aca="false">IFERROR(INDEX(Lookups!$D$3:$D$11,MATCH(H39&amp;"|"&amp;I39,Lookups!$C$3:$C$11,0)),"")</f>
        <v>3</v>
      </c>
      <c r="L39" s="15" t="str">
        <f aca="false">IFERROR(INDEX(Lookups!$H$3:$H$11,MATCH(K39&amp;"|"&amp;J39,Lookups!$G$3:$G$11,0)),"")</f>
        <v>High</v>
      </c>
      <c r="M39" s="16" t="str">
        <f aca="false">IFERROR(INDEX(Lookups!$L$3:$L$5,MATCH(L39,Lookups!$K$3:$K$5,0)),"")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39" s="16" t="str">
        <f aca="false">IFERROR(INDEX(Lookups!$M$3:$M$5,MATCH(L39,Lookups!$K$3:$K$5,0)),"")</f>
        <v>Individual OQ test case — positive and negative testing, executed and witnessed</v>
      </c>
      <c r="O39" s="16" t="s">
        <v>100</v>
      </c>
      <c r="P39" s="16" t="str">
        <f aca="false">IFERROR(INDEX(Lookups!$N$3:$N$5,MATCH(L39,Lookups!$K$3:$K$5,0)),"")</f>
        <v>Medium (to be confirmed after test execution)</v>
      </c>
      <c r="Q39" s="16"/>
    </row>
    <row r="40" customFormat="false" ht="60" hidden="false" customHeight="true" outlineLevel="0" collapsed="false">
      <c r="A40" s="15" t="s">
        <v>226</v>
      </c>
      <c r="B40" s="15" t="s">
        <v>227</v>
      </c>
      <c r="C40" s="16" t="s">
        <v>202</v>
      </c>
      <c r="D40" s="16" t="s">
        <v>228</v>
      </c>
      <c r="E40" s="15" t="s">
        <v>97</v>
      </c>
      <c r="F40" s="15" t="s">
        <v>98</v>
      </c>
      <c r="G40" s="16" t="s">
        <v>229</v>
      </c>
      <c r="H40" s="15" t="s">
        <v>43</v>
      </c>
      <c r="I40" s="15" t="s">
        <v>43</v>
      </c>
      <c r="J40" s="15" t="s">
        <v>47</v>
      </c>
      <c r="K40" s="15" t="n">
        <f aca="false">IFERROR(INDEX(Lookups!$D$3:$D$11,MATCH(H40&amp;"|"&amp;I40,Lookups!$C$3:$C$11,0)),"")</f>
        <v>3</v>
      </c>
      <c r="L40" s="15" t="str">
        <f aca="false">IFERROR(INDEX(Lookups!$H$3:$H$11,MATCH(K40&amp;"|"&amp;J40,Lookups!$G$3:$G$11,0)),"")</f>
        <v>High</v>
      </c>
      <c r="M40" s="16" t="str">
        <f aca="false">IFERROR(INDEX(Lookups!$L$3:$L$5,MATCH(L40,Lookups!$K$3:$K$5,0)),"")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40" s="16" t="str">
        <f aca="false">IFERROR(INDEX(Lookups!$M$3:$M$5,MATCH(L40,Lookups!$K$3:$K$5,0)),"")</f>
        <v>Individual OQ test case — positive and negative testing, executed and witnessed</v>
      </c>
      <c r="O40" s="16" t="s">
        <v>100</v>
      </c>
      <c r="P40" s="16" t="str">
        <f aca="false">IFERROR(INDEX(Lookups!$N$3:$N$5,MATCH(L40,Lookups!$K$3:$K$5,0)),"")</f>
        <v>Medium (to be confirmed after test execution)</v>
      </c>
      <c r="Q40" s="16"/>
    </row>
    <row r="41" customFormat="false" ht="60" hidden="false" customHeight="true" outlineLevel="0" collapsed="false">
      <c r="A41" s="15" t="s">
        <v>230</v>
      </c>
      <c r="B41" s="15" t="s">
        <v>231</v>
      </c>
      <c r="C41" s="16" t="s">
        <v>202</v>
      </c>
      <c r="D41" s="16" t="s">
        <v>232</v>
      </c>
      <c r="E41" s="15" t="s">
        <v>97</v>
      </c>
      <c r="F41" s="15" t="s">
        <v>98</v>
      </c>
      <c r="G41" s="16" t="s">
        <v>233</v>
      </c>
      <c r="H41" s="15" t="s">
        <v>43</v>
      </c>
      <c r="I41" s="15" t="s">
        <v>43</v>
      </c>
      <c r="J41" s="15" t="s">
        <v>47</v>
      </c>
      <c r="K41" s="15" t="n">
        <f aca="false">IFERROR(INDEX(Lookups!$D$3:$D$11,MATCH(H41&amp;"|"&amp;I41,Lookups!$C$3:$C$11,0)),"")</f>
        <v>3</v>
      </c>
      <c r="L41" s="15" t="str">
        <f aca="false">IFERROR(INDEX(Lookups!$H$3:$H$11,MATCH(K41&amp;"|"&amp;J41,Lookups!$G$3:$G$11,0)),"")</f>
        <v>High</v>
      </c>
      <c r="M41" s="16" t="str">
        <f aca="false">IFERROR(INDEX(Lookups!$L$3:$L$5,MATCH(L41,Lookups!$K$3:$K$5,0)),"")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41" s="16" t="str">
        <f aca="false">IFERROR(INDEX(Lookups!$M$3:$M$5,MATCH(L41,Lookups!$K$3:$K$5,0)),"")</f>
        <v>Individual OQ test case — positive and negative testing, executed and witnessed</v>
      </c>
      <c r="O41" s="16" t="s">
        <v>100</v>
      </c>
      <c r="P41" s="16" t="str">
        <f aca="false">IFERROR(INDEX(Lookups!$N$3:$N$5,MATCH(L41,Lookups!$K$3:$K$5,0)),"")</f>
        <v>Medium (to be confirmed after test execution)</v>
      </c>
      <c r="Q41" s="16"/>
    </row>
    <row r="42" customFormat="false" ht="60" hidden="false" customHeight="true" outlineLevel="0" collapsed="false">
      <c r="A42" s="15" t="s">
        <v>234</v>
      </c>
      <c r="B42" s="15" t="s">
        <v>235</v>
      </c>
      <c r="C42" s="16" t="s">
        <v>236</v>
      </c>
      <c r="D42" s="16" t="s">
        <v>237</v>
      </c>
      <c r="E42" s="15" t="s">
        <v>97</v>
      </c>
      <c r="F42" s="15" t="s">
        <v>98</v>
      </c>
      <c r="G42" s="16" t="s">
        <v>238</v>
      </c>
      <c r="H42" s="15" t="s">
        <v>45</v>
      </c>
      <c r="I42" s="15" t="s">
        <v>45</v>
      </c>
      <c r="J42" s="15" t="s">
        <v>45</v>
      </c>
      <c r="K42" s="15" t="n">
        <f aca="false">IFERROR(INDEX(Lookups!$D$3:$D$11,MATCH(H42&amp;"|"&amp;I42,Lookups!$C$3:$C$11,0)),"")</f>
        <v>2</v>
      </c>
      <c r="L42" s="15" t="str">
        <f aca="false">IFERROR(INDEX(Lookups!$H$3:$H$11,MATCH(K42&amp;"|"&amp;J42,Lookups!$G$3:$G$11,0)),"")</f>
        <v>Medium</v>
      </c>
      <c r="M42" s="16" t="str">
        <f aca="false">IFERROR(INDEX(Lookups!$L$3:$L$5,MATCH(L42,Lookups!$K$3:$K$5,0)),"")</f>
        <v>Specify in the Functional Specification and verify by individual OQ test case (positive testing). Procedural control where user judgement is involved.</v>
      </c>
      <c r="N42" s="16" t="str">
        <f aca="false">IFERROR(INDEX(Lookups!$M$3:$M$5,MATCH(L42,Lookups!$K$3:$K$5,0)),"")</f>
        <v>Individual OQ test case — positive testing</v>
      </c>
      <c r="O42" s="16" t="s">
        <v>100</v>
      </c>
      <c r="P42" s="16" t="str">
        <f aca="false">IFERROR(INDEX(Lookups!$N$3:$N$5,MATCH(L42,Lookups!$K$3:$K$5,0)),"")</f>
        <v>Low</v>
      </c>
      <c r="Q42" s="16"/>
    </row>
    <row r="43" customFormat="false" ht="60" hidden="false" customHeight="true" outlineLevel="0" collapsed="false">
      <c r="A43" s="15" t="s">
        <v>239</v>
      </c>
      <c r="B43" s="15" t="s">
        <v>240</v>
      </c>
      <c r="C43" s="16" t="s">
        <v>236</v>
      </c>
      <c r="D43" s="16" t="s">
        <v>241</v>
      </c>
      <c r="E43" s="15" t="s">
        <v>97</v>
      </c>
      <c r="F43" s="15" t="s">
        <v>98</v>
      </c>
      <c r="G43" s="16" t="s">
        <v>238</v>
      </c>
      <c r="H43" s="15" t="s">
        <v>45</v>
      </c>
      <c r="I43" s="15" t="s">
        <v>43</v>
      </c>
      <c r="J43" s="15" t="s">
        <v>45</v>
      </c>
      <c r="K43" s="15" t="n">
        <f aca="false">IFERROR(INDEX(Lookups!$D$3:$D$11,MATCH(H43&amp;"|"&amp;I43,Lookups!$C$3:$C$11,0)),"")</f>
        <v>3</v>
      </c>
      <c r="L43" s="15" t="str">
        <f aca="false">IFERROR(INDEX(Lookups!$H$3:$H$11,MATCH(K43&amp;"|"&amp;J43,Lookups!$G$3:$G$11,0)),"")</f>
        <v>High</v>
      </c>
      <c r="M43" s="16" t="str">
        <f aca="false">IFERROR(INDEX(Lookups!$L$3:$L$5,MATCH(L43,Lookups!$K$3:$K$5,0)),"")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43" s="16" t="str">
        <f aca="false">IFERROR(INDEX(Lookups!$M$3:$M$5,MATCH(L43,Lookups!$K$3:$K$5,0)),"")</f>
        <v>Individual OQ test case — positive and negative testing, executed and witnessed</v>
      </c>
      <c r="O43" s="16" t="s">
        <v>100</v>
      </c>
      <c r="P43" s="16" t="str">
        <f aca="false">IFERROR(INDEX(Lookups!$N$3:$N$5,MATCH(L43,Lookups!$K$3:$K$5,0)),"")</f>
        <v>Medium (to be confirmed after test execution)</v>
      </c>
      <c r="Q43" s="16"/>
    </row>
    <row r="44" customFormat="false" ht="60" hidden="false" customHeight="true" outlineLevel="0" collapsed="false">
      <c r="A44" s="15" t="s">
        <v>242</v>
      </c>
      <c r="B44" s="15" t="s">
        <v>243</v>
      </c>
      <c r="C44" s="16" t="s">
        <v>236</v>
      </c>
      <c r="D44" s="16" t="s">
        <v>244</v>
      </c>
      <c r="E44" s="15" t="s">
        <v>97</v>
      </c>
      <c r="F44" s="15" t="s">
        <v>98</v>
      </c>
      <c r="G44" s="16" t="s">
        <v>238</v>
      </c>
      <c r="H44" s="15" t="s">
        <v>45</v>
      </c>
      <c r="I44" s="15" t="s">
        <v>45</v>
      </c>
      <c r="J44" s="15" t="s">
        <v>45</v>
      </c>
      <c r="K44" s="15" t="n">
        <f aca="false">IFERROR(INDEX(Lookups!$D$3:$D$11,MATCH(H44&amp;"|"&amp;I44,Lookups!$C$3:$C$11,0)),"")</f>
        <v>2</v>
      </c>
      <c r="L44" s="15" t="str">
        <f aca="false">IFERROR(INDEX(Lookups!$H$3:$H$11,MATCH(K44&amp;"|"&amp;J44,Lookups!$G$3:$G$11,0)),"")</f>
        <v>Medium</v>
      </c>
      <c r="M44" s="16" t="str">
        <f aca="false">IFERROR(INDEX(Lookups!$L$3:$L$5,MATCH(L44,Lookups!$K$3:$K$5,0)),"")</f>
        <v>Specify in the Functional Specification and verify by individual OQ test case (positive testing). Procedural control where user judgement is involved.</v>
      </c>
      <c r="N44" s="16" t="str">
        <f aca="false">IFERROR(INDEX(Lookups!$M$3:$M$5,MATCH(L44,Lookups!$K$3:$K$5,0)),"")</f>
        <v>Individual OQ test case — positive testing</v>
      </c>
      <c r="O44" s="16" t="s">
        <v>100</v>
      </c>
      <c r="P44" s="16" t="str">
        <f aca="false">IFERROR(INDEX(Lookups!$N$3:$N$5,MATCH(L44,Lookups!$K$3:$K$5,0)),"")</f>
        <v>Low</v>
      </c>
      <c r="Q44" s="16"/>
    </row>
    <row r="45" customFormat="false" ht="60" hidden="false" customHeight="true" outlineLevel="0" collapsed="false">
      <c r="A45" s="15" t="s">
        <v>245</v>
      </c>
      <c r="B45" s="15" t="s">
        <v>246</v>
      </c>
      <c r="C45" s="16" t="s">
        <v>236</v>
      </c>
      <c r="D45" s="16" t="s">
        <v>247</v>
      </c>
      <c r="E45" s="15" t="s">
        <v>97</v>
      </c>
      <c r="F45" s="15" t="s">
        <v>98</v>
      </c>
      <c r="G45" s="16" t="s">
        <v>238</v>
      </c>
      <c r="H45" s="15" t="s">
        <v>45</v>
      </c>
      <c r="I45" s="15" t="s">
        <v>43</v>
      </c>
      <c r="J45" s="15" t="s">
        <v>47</v>
      </c>
      <c r="K45" s="15" t="n">
        <f aca="false">IFERROR(INDEX(Lookups!$D$3:$D$11,MATCH(H45&amp;"|"&amp;I45,Lookups!$C$3:$C$11,0)),"")</f>
        <v>3</v>
      </c>
      <c r="L45" s="15" t="str">
        <f aca="false">IFERROR(INDEX(Lookups!$H$3:$H$11,MATCH(K45&amp;"|"&amp;J45,Lookups!$G$3:$G$11,0)),"")</f>
        <v>High</v>
      </c>
      <c r="M45" s="16" t="str">
        <f aca="false">IFERROR(INDEX(Lookups!$L$3:$L$5,MATCH(L45,Lookups!$K$3:$K$5,0)),"")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45" s="16" t="str">
        <f aca="false">IFERROR(INDEX(Lookups!$M$3:$M$5,MATCH(L45,Lookups!$K$3:$K$5,0)),"")</f>
        <v>Individual OQ test case — positive and negative testing, executed and witnessed</v>
      </c>
      <c r="O45" s="16" t="s">
        <v>100</v>
      </c>
      <c r="P45" s="16" t="str">
        <f aca="false">IFERROR(INDEX(Lookups!$N$3:$N$5,MATCH(L45,Lookups!$K$3:$K$5,0)),"")</f>
        <v>Medium (to be confirmed after test execution)</v>
      </c>
      <c r="Q45" s="16"/>
    </row>
    <row r="46" customFormat="false" ht="60" hidden="false" customHeight="true" outlineLevel="0" collapsed="false">
      <c r="A46" s="15" t="s">
        <v>248</v>
      </c>
      <c r="B46" s="15" t="s">
        <v>249</v>
      </c>
      <c r="C46" s="16" t="s">
        <v>236</v>
      </c>
      <c r="D46" s="16" t="s">
        <v>250</v>
      </c>
      <c r="E46" s="15" t="s">
        <v>97</v>
      </c>
      <c r="F46" s="15" t="s">
        <v>98</v>
      </c>
      <c r="G46" s="16" t="s">
        <v>238</v>
      </c>
      <c r="H46" s="15" t="s">
        <v>47</v>
      </c>
      <c r="I46" s="15" t="s">
        <v>47</v>
      </c>
      <c r="J46" s="15" t="s">
        <v>43</v>
      </c>
      <c r="K46" s="15" t="n">
        <f aca="false">IFERROR(INDEX(Lookups!$D$3:$D$11,MATCH(H46&amp;"|"&amp;I46,Lookups!$C$3:$C$11,0)),"")</f>
        <v>1</v>
      </c>
      <c r="L46" s="15" t="str">
        <f aca="false">IFERROR(INDEX(Lookups!$H$3:$H$11,MATCH(K46&amp;"|"&amp;J46,Lookups!$G$3:$G$11,0)),"")</f>
        <v>Low</v>
      </c>
      <c r="M46" s="16" t="str">
        <f aca="false">IFERROR(INDEX(Lookups!$L$3:$L$5,MATCH(L46,Lookups!$K$3:$K$5,0)),"")</f>
        <v>Verify by grouped OQ execution or PQ/UAT scenario. No additional design control required beyond standard development and code review.</v>
      </c>
      <c r="N46" s="16" t="str">
        <f aca="false">IFERROR(INDEX(Lookups!$M$3:$M$5,MATCH(L46,Lookups!$K$3:$K$5,0)),"")</f>
        <v>Grouped OQ / PQ-UAT scenario verification</v>
      </c>
      <c r="O46" s="16" t="s">
        <v>100</v>
      </c>
      <c r="P46" s="16" t="str">
        <f aca="false">IFERROR(INDEX(Lookups!$N$3:$N$5,MATCH(L46,Lookups!$K$3:$K$5,0)),"")</f>
        <v>Low</v>
      </c>
      <c r="Q46" s="16"/>
    </row>
    <row r="47" customFormat="false" ht="60" hidden="false" customHeight="true" outlineLevel="0" collapsed="false">
      <c r="A47" s="15" t="s">
        <v>251</v>
      </c>
      <c r="B47" s="15" t="s">
        <v>252</v>
      </c>
      <c r="C47" s="16" t="s">
        <v>236</v>
      </c>
      <c r="D47" s="16" t="s">
        <v>253</v>
      </c>
      <c r="E47" s="15" t="s">
        <v>97</v>
      </c>
      <c r="F47" s="15" t="s">
        <v>98</v>
      </c>
      <c r="G47" s="16" t="s">
        <v>238</v>
      </c>
      <c r="H47" s="15" t="s">
        <v>45</v>
      </c>
      <c r="I47" s="15" t="s">
        <v>45</v>
      </c>
      <c r="J47" s="15" t="s">
        <v>45</v>
      </c>
      <c r="K47" s="15" t="n">
        <f aca="false">IFERROR(INDEX(Lookups!$D$3:$D$11,MATCH(H47&amp;"|"&amp;I47,Lookups!$C$3:$C$11,0)),"")</f>
        <v>2</v>
      </c>
      <c r="L47" s="15" t="str">
        <f aca="false">IFERROR(INDEX(Lookups!$H$3:$H$11,MATCH(K47&amp;"|"&amp;J47,Lookups!$G$3:$G$11,0)),"")</f>
        <v>Medium</v>
      </c>
      <c r="M47" s="16" t="str">
        <f aca="false">IFERROR(INDEX(Lookups!$L$3:$L$5,MATCH(L47,Lookups!$K$3:$K$5,0)),"")</f>
        <v>Specify in the Functional Specification and verify by individual OQ test case (positive testing). Procedural control where user judgement is involved.</v>
      </c>
      <c r="N47" s="16" t="str">
        <f aca="false">IFERROR(INDEX(Lookups!$M$3:$M$5,MATCH(L47,Lookups!$K$3:$K$5,0)),"")</f>
        <v>Individual OQ test case — positive testing</v>
      </c>
      <c r="O47" s="16" t="s">
        <v>100</v>
      </c>
      <c r="P47" s="16" t="str">
        <f aca="false">IFERROR(INDEX(Lookups!$N$3:$N$5,MATCH(L47,Lookups!$K$3:$K$5,0)),"")</f>
        <v>Low</v>
      </c>
      <c r="Q47" s="16"/>
    </row>
    <row r="48" customFormat="false" ht="60" hidden="false" customHeight="true" outlineLevel="0" collapsed="false">
      <c r="A48" s="15" t="s">
        <v>254</v>
      </c>
      <c r="B48" s="15" t="s">
        <v>255</v>
      </c>
      <c r="C48" s="16" t="s">
        <v>236</v>
      </c>
      <c r="D48" s="16" t="s">
        <v>256</v>
      </c>
      <c r="E48" s="15" t="s">
        <v>97</v>
      </c>
      <c r="F48" s="15" t="s">
        <v>98</v>
      </c>
      <c r="G48" s="16" t="s">
        <v>238</v>
      </c>
      <c r="H48" s="15" t="s">
        <v>45</v>
      </c>
      <c r="I48" s="15" t="s">
        <v>45</v>
      </c>
      <c r="J48" s="15" t="s">
        <v>45</v>
      </c>
      <c r="K48" s="15" t="n">
        <f aca="false">IFERROR(INDEX(Lookups!$D$3:$D$11,MATCH(H48&amp;"|"&amp;I48,Lookups!$C$3:$C$11,0)),"")</f>
        <v>2</v>
      </c>
      <c r="L48" s="15" t="str">
        <f aca="false">IFERROR(INDEX(Lookups!$H$3:$H$11,MATCH(K48&amp;"|"&amp;J48,Lookups!$G$3:$G$11,0)),"")</f>
        <v>Medium</v>
      </c>
      <c r="M48" s="16" t="str">
        <f aca="false">IFERROR(INDEX(Lookups!$L$3:$L$5,MATCH(L48,Lookups!$K$3:$K$5,0)),"")</f>
        <v>Specify in the Functional Specification and verify by individual OQ test case (positive testing). Procedural control where user judgement is involved.</v>
      </c>
      <c r="N48" s="16" t="str">
        <f aca="false">IFERROR(INDEX(Lookups!$M$3:$M$5,MATCH(L48,Lookups!$K$3:$K$5,0)),"")</f>
        <v>Individual OQ test case — positive testing</v>
      </c>
      <c r="O48" s="16" t="s">
        <v>100</v>
      </c>
      <c r="P48" s="16" t="str">
        <f aca="false">IFERROR(INDEX(Lookups!$N$3:$N$5,MATCH(L48,Lookups!$K$3:$K$5,0)),"")</f>
        <v>Low</v>
      </c>
      <c r="Q48" s="16"/>
    </row>
    <row r="49" customFormat="false" ht="60" hidden="false" customHeight="true" outlineLevel="0" collapsed="false">
      <c r="A49" s="15" t="s">
        <v>257</v>
      </c>
      <c r="B49" s="15" t="s">
        <v>258</v>
      </c>
      <c r="C49" s="16" t="s">
        <v>236</v>
      </c>
      <c r="D49" s="16" t="s">
        <v>259</v>
      </c>
      <c r="E49" s="15" t="s">
        <v>97</v>
      </c>
      <c r="F49" s="15" t="s">
        <v>98</v>
      </c>
      <c r="G49" s="16" t="s">
        <v>238</v>
      </c>
      <c r="H49" s="15" t="s">
        <v>45</v>
      </c>
      <c r="I49" s="15" t="s">
        <v>45</v>
      </c>
      <c r="J49" s="15" t="s">
        <v>45</v>
      </c>
      <c r="K49" s="15" t="n">
        <f aca="false">IFERROR(INDEX(Lookups!$D$3:$D$11,MATCH(H49&amp;"|"&amp;I49,Lookups!$C$3:$C$11,0)),"")</f>
        <v>2</v>
      </c>
      <c r="L49" s="15" t="str">
        <f aca="false">IFERROR(INDEX(Lookups!$H$3:$H$11,MATCH(K49&amp;"|"&amp;J49,Lookups!$G$3:$G$11,0)),"")</f>
        <v>Medium</v>
      </c>
      <c r="M49" s="16" t="str">
        <f aca="false">IFERROR(INDEX(Lookups!$L$3:$L$5,MATCH(L49,Lookups!$K$3:$K$5,0)),"")</f>
        <v>Specify in the Functional Specification and verify by individual OQ test case (positive testing). Procedural control where user judgement is involved.</v>
      </c>
      <c r="N49" s="16" t="str">
        <f aca="false">IFERROR(INDEX(Lookups!$M$3:$M$5,MATCH(L49,Lookups!$K$3:$K$5,0)),"")</f>
        <v>Individual OQ test case — positive testing</v>
      </c>
      <c r="O49" s="16" t="s">
        <v>100</v>
      </c>
      <c r="P49" s="16" t="str">
        <f aca="false">IFERROR(INDEX(Lookups!$N$3:$N$5,MATCH(L49,Lookups!$K$3:$K$5,0)),"")</f>
        <v>Low</v>
      </c>
      <c r="Q49" s="16"/>
    </row>
    <row r="50" customFormat="false" ht="60" hidden="false" customHeight="true" outlineLevel="0" collapsed="false">
      <c r="A50" s="15" t="s">
        <v>260</v>
      </c>
      <c r="B50" s="15" t="s">
        <v>261</v>
      </c>
      <c r="C50" s="16" t="s">
        <v>236</v>
      </c>
      <c r="D50" s="16" t="s">
        <v>262</v>
      </c>
      <c r="E50" s="15" t="s">
        <v>97</v>
      </c>
      <c r="F50" s="15" t="s">
        <v>98</v>
      </c>
      <c r="G50" s="16" t="s">
        <v>238</v>
      </c>
      <c r="H50" s="15" t="s">
        <v>45</v>
      </c>
      <c r="I50" s="15" t="s">
        <v>43</v>
      </c>
      <c r="J50" s="15" t="s">
        <v>45</v>
      </c>
      <c r="K50" s="15" t="n">
        <f aca="false">IFERROR(INDEX(Lookups!$D$3:$D$11,MATCH(H50&amp;"|"&amp;I50,Lookups!$C$3:$C$11,0)),"")</f>
        <v>3</v>
      </c>
      <c r="L50" s="15" t="str">
        <f aca="false">IFERROR(INDEX(Lookups!$H$3:$H$11,MATCH(K50&amp;"|"&amp;J50,Lookups!$G$3:$G$11,0)),"")</f>
        <v>High</v>
      </c>
      <c r="M50" s="16" t="str">
        <f aca="false">IFERROR(INDEX(Lookups!$L$3:$L$5,MATCH(L50,Lookups!$K$3:$K$5,0)),"")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50" s="16" t="str">
        <f aca="false">IFERROR(INDEX(Lookups!$M$3:$M$5,MATCH(L50,Lookups!$K$3:$K$5,0)),"")</f>
        <v>Individual OQ test case — positive and negative testing, executed and witnessed</v>
      </c>
      <c r="O50" s="16" t="s">
        <v>100</v>
      </c>
      <c r="P50" s="16" t="str">
        <f aca="false">IFERROR(INDEX(Lookups!$N$3:$N$5,MATCH(L50,Lookups!$K$3:$K$5,0)),"")</f>
        <v>Medium (to be confirmed after test execution)</v>
      </c>
      <c r="Q50" s="16"/>
    </row>
    <row r="51" customFormat="false" ht="60" hidden="false" customHeight="true" outlineLevel="0" collapsed="false">
      <c r="A51" s="15" t="s">
        <v>263</v>
      </c>
      <c r="B51" s="15" t="s">
        <v>264</v>
      </c>
      <c r="C51" s="16" t="s">
        <v>236</v>
      </c>
      <c r="D51" s="16" t="s">
        <v>265</v>
      </c>
      <c r="E51" s="15" t="s">
        <v>97</v>
      </c>
      <c r="F51" s="15" t="s">
        <v>98</v>
      </c>
      <c r="G51" s="16" t="s">
        <v>238</v>
      </c>
      <c r="H51" s="15" t="s">
        <v>45</v>
      </c>
      <c r="I51" s="15" t="s">
        <v>45</v>
      </c>
      <c r="J51" s="15" t="s">
        <v>45</v>
      </c>
      <c r="K51" s="15" t="n">
        <f aca="false">IFERROR(INDEX(Lookups!$D$3:$D$11,MATCH(H51&amp;"|"&amp;I51,Lookups!$C$3:$C$11,0)),"")</f>
        <v>2</v>
      </c>
      <c r="L51" s="15" t="str">
        <f aca="false">IFERROR(INDEX(Lookups!$H$3:$H$11,MATCH(K51&amp;"|"&amp;J51,Lookups!$G$3:$G$11,0)),"")</f>
        <v>Medium</v>
      </c>
      <c r="M51" s="16" t="str">
        <f aca="false">IFERROR(INDEX(Lookups!$L$3:$L$5,MATCH(L51,Lookups!$K$3:$K$5,0)),"")</f>
        <v>Specify in the Functional Specification and verify by individual OQ test case (positive testing). Procedural control where user judgement is involved.</v>
      </c>
      <c r="N51" s="16" t="str">
        <f aca="false">IFERROR(INDEX(Lookups!$M$3:$M$5,MATCH(L51,Lookups!$K$3:$K$5,0)),"")</f>
        <v>Individual OQ test case — positive testing</v>
      </c>
      <c r="O51" s="16" t="s">
        <v>100</v>
      </c>
      <c r="P51" s="16" t="str">
        <f aca="false">IFERROR(INDEX(Lookups!$N$3:$N$5,MATCH(L51,Lookups!$K$3:$K$5,0)),"")</f>
        <v>Low</v>
      </c>
      <c r="Q51" s="16"/>
    </row>
    <row r="52" customFormat="false" ht="60" hidden="false" customHeight="true" outlineLevel="0" collapsed="false">
      <c r="A52" s="15" t="s">
        <v>266</v>
      </c>
      <c r="B52" s="15" t="s">
        <v>267</v>
      </c>
      <c r="C52" s="16" t="s">
        <v>236</v>
      </c>
      <c r="D52" s="16" t="s">
        <v>268</v>
      </c>
      <c r="E52" s="15" t="s">
        <v>97</v>
      </c>
      <c r="F52" s="15" t="s">
        <v>98</v>
      </c>
      <c r="G52" s="16" t="s">
        <v>238</v>
      </c>
      <c r="H52" s="15" t="s">
        <v>45</v>
      </c>
      <c r="I52" s="15" t="s">
        <v>45</v>
      </c>
      <c r="J52" s="15" t="s">
        <v>45</v>
      </c>
      <c r="K52" s="15" t="n">
        <f aca="false">IFERROR(INDEX(Lookups!$D$3:$D$11,MATCH(H52&amp;"|"&amp;I52,Lookups!$C$3:$C$11,0)),"")</f>
        <v>2</v>
      </c>
      <c r="L52" s="15" t="str">
        <f aca="false">IFERROR(INDEX(Lookups!$H$3:$H$11,MATCH(K52&amp;"|"&amp;J52,Lookups!$G$3:$G$11,0)),"")</f>
        <v>Medium</v>
      </c>
      <c r="M52" s="16" t="str">
        <f aca="false">IFERROR(INDEX(Lookups!$L$3:$L$5,MATCH(L52,Lookups!$K$3:$K$5,0)),"")</f>
        <v>Specify in the Functional Specification and verify by individual OQ test case (positive testing). Procedural control where user judgement is involved.</v>
      </c>
      <c r="N52" s="16" t="str">
        <f aca="false">IFERROR(INDEX(Lookups!$M$3:$M$5,MATCH(L52,Lookups!$K$3:$K$5,0)),"")</f>
        <v>Individual OQ test case — positive testing</v>
      </c>
      <c r="O52" s="16" t="s">
        <v>100</v>
      </c>
      <c r="P52" s="16" t="str">
        <f aca="false">IFERROR(INDEX(Lookups!$N$3:$N$5,MATCH(L52,Lookups!$K$3:$K$5,0)),"")</f>
        <v>Low</v>
      </c>
      <c r="Q52" s="16"/>
    </row>
    <row r="53" customFormat="false" ht="60" hidden="false" customHeight="true" outlineLevel="0" collapsed="false">
      <c r="A53" s="15" t="s">
        <v>269</v>
      </c>
      <c r="B53" s="15" t="s">
        <v>270</v>
      </c>
      <c r="C53" s="16" t="s">
        <v>236</v>
      </c>
      <c r="D53" s="16" t="s">
        <v>271</v>
      </c>
      <c r="E53" s="15" t="s">
        <v>97</v>
      </c>
      <c r="F53" s="15" t="s">
        <v>98</v>
      </c>
      <c r="G53" s="16" t="s">
        <v>238</v>
      </c>
      <c r="H53" s="15" t="s">
        <v>43</v>
      </c>
      <c r="I53" s="15" t="s">
        <v>45</v>
      </c>
      <c r="J53" s="15" t="s">
        <v>45</v>
      </c>
      <c r="K53" s="15" t="n">
        <f aca="false">IFERROR(INDEX(Lookups!$D$3:$D$11,MATCH(H53&amp;"|"&amp;I53,Lookups!$C$3:$C$11,0)),"")</f>
        <v>3</v>
      </c>
      <c r="L53" s="15" t="str">
        <f aca="false">IFERROR(INDEX(Lookups!$H$3:$H$11,MATCH(K53&amp;"|"&amp;J53,Lookups!$G$3:$G$11,0)),"")</f>
        <v>High</v>
      </c>
      <c r="M53" s="16" t="str">
        <f aca="false">IFERROR(INDEX(Lookups!$L$3:$L$5,MATCH(L53,Lookups!$K$3:$K$5,0)),"")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53" s="16" t="str">
        <f aca="false">IFERROR(INDEX(Lookups!$M$3:$M$5,MATCH(L53,Lookups!$K$3:$K$5,0)),"")</f>
        <v>Individual OQ test case — positive and negative testing, executed and witnessed</v>
      </c>
      <c r="O53" s="16" t="s">
        <v>100</v>
      </c>
      <c r="P53" s="16" t="str">
        <f aca="false">IFERROR(INDEX(Lookups!$N$3:$N$5,MATCH(L53,Lookups!$K$3:$K$5,0)),"")</f>
        <v>Medium (to be confirmed after test execution)</v>
      </c>
      <c r="Q53" s="16"/>
    </row>
    <row r="54" customFormat="false" ht="60" hidden="false" customHeight="true" outlineLevel="0" collapsed="false">
      <c r="A54" s="15" t="s">
        <v>272</v>
      </c>
      <c r="B54" s="15" t="s">
        <v>273</v>
      </c>
      <c r="C54" s="16" t="s">
        <v>236</v>
      </c>
      <c r="D54" s="16" t="s">
        <v>274</v>
      </c>
      <c r="E54" s="15" t="s">
        <v>97</v>
      </c>
      <c r="F54" s="15" t="s">
        <v>98</v>
      </c>
      <c r="G54" s="16" t="s">
        <v>238</v>
      </c>
      <c r="H54" s="15" t="s">
        <v>45</v>
      </c>
      <c r="I54" s="15" t="s">
        <v>45</v>
      </c>
      <c r="J54" s="15" t="s">
        <v>45</v>
      </c>
      <c r="K54" s="15" t="n">
        <f aca="false">IFERROR(INDEX(Lookups!$D$3:$D$11,MATCH(H54&amp;"|"&amp;I54,Lookups!$C$3:$C$11,0)),"")</f>
        <v>2</v>
      </c>
      <c r="L54" s="15" t="str">
        <f aca="false">IFERROR(INDEX(Lookups!$H$3:$H$11,MATCH(K54&amp;"|"&amp;J54,Lookups!$G$3:$G$11,0)),"")</f>
        <v>Medium</v>
      </c>
      <c r="M54" s="16" t="str">
        <f aca="false">IFERROR(INDEX(Lookups!$L$3:$L$5,MATCH(L54,Lookups!$K$3:$K$5,0)),"")</f>
        <v>Specify in the Functional Specification and verify by individual OQ test case (positive testing). Procedural control where user judgement is involved.</v>
      </c>
      <c r="N54" s="16" t="str">
        <f aca="false">IFERROR(INDEX(Lookups!$M$3:$M$5,MATCH(L54,Lookups!$K$3:$K$5,0)),"")</f>
        <v>Individual OQ test case — positive testing</v>
      </c>
      <c r="O54" s="16" t="s">
        <v>100</v>
      </c>
      <c r="P54" s="16" t="str">
        <f aca="false">IFERROR(INDEX(Lookups!$N$3:$N$5,MATCH(L54,Lookups!$K$3:$K$5,0)),"")</f>
        <v>Low</v>
      </c>
      <c r="Q54" s="16"/>
    </row>
    <row r="55" customFormat="false" ht="60" hidden="false" customHeight="true" outlineLevel="0" collapsed="false">
      <c r="A55" s="15" t="s">
        <v>275</v>
      </c>
      <c r="B55" s="15" t="s">
        <v>276</v>
      </c>
      <c r="C55" s="16" t="s">
        <v>236</v>
      </c>
      <c r="D55" s="16" t="s">
        <v>277</v>
      </c>
      <c r="E55" s="15" t="s">
        <v>97</v>
      </c>
      <c r="F55" s="15" t="s">
        <v>98</v>
      </c>
      <c r="G55" s="16" t="s">
        <v>238</v>
      </c>
      <c r="H55" s="15" t="s">
        <v>45</v>
      </c>
      <c r="I55" s="15" t="s">
        <v>45</v>
      </c>
      <c r="J55" s="15" t="s">
        <v>45</v>
      </c>
      <c r="K55" s="15" t="n">
        <f aca="false">IFERROR(INDEX(Lookups!$D$3:$D$11,MATCH(H55&amp;"|"&amp;I55,Lookups!$C$3:$C$11,0)),"")</f>
        <v>2</v>
      </c>
      <c r="L55" s="15" t="str">
        <f aca="false">IFERROR(INDEX(Lookups!$H$3:$H$11,MATCH(K55&amp;"|"&amp;J55,Lookups!$G$3:$G$11,0)),"")</f>
        <v>Medium</v>
      </c>
      <c r="M55" s="16" t="str">
        <f aca="false">IFERROR(INDEX(Lookups!$L$3:$L$5,MATCH(L55,Lookups!$K$3:$K$5,0)),"")</f>
        <v>Specify in the Functional Specification and verify by individual OQ test case (positive testing). Procedural control where user judgement is involved.</v>
      </c>
      <c r="N55" s="16" t="str">
        <f aca="false">IFERROR(INDEX(Lookups!$M$3:$M$5,MATCH(L55,Lookups!$K$3:$K$5,0)),"")</f>
        <v>Individual OQ test case — positive testing</v>
      </c>
      <c r="O55" s="16" t="s">
        <v>100</v>
      </c>
      <c r="P55" s="16" t="str">
        <f aca="false">IFERROR(INDEX(Lookups!$N$3:$N$5,MATCH(L55,Lookups!$K$3:$K$5,0)),"")</f>
        <v>Low</v>
      </c>
      <c r="Q55" s="16"/>
    </row>
    <row r="56" customFormat="false" ht="60" hidden="false" customHeight="true" outlineLevel="0" collapsed="false">
      <c r="A56" s="15" t="s">
        <v>278</v>
      </c>
      <c r="B56" s="15" t="s">
        <v>279</v>
      </c>
      <c r="C56" s="16" t="s">
        <v>280</v>
      </c>
      <c r="D56" s="16" t="s">
        <v>281</v>
      </c>
      <c r="E56" s="15" t="s">
        <v>97</v>
      </c>
      <c r="F56" s="15" t="s">
        <v>98</v>
      </c>
      <c r="G56" s="16" t="s">
        <v>282</v>
      </c>
      <c r="H56" s="15" t="s">
        <v>45</v>
      </c>
      <c r="I56" s="15" t="s">
        <v>45</v>
      </c>
      <c r="J56" s="15" t="s">
        <v>45</v>
      </c>
      <c r="K56" s="15" t="n">
        <f aca="false">IFERROR(INDEX(Lookups!$D$3:$D$11,MATCH(H56&amp;"|"&amp;I56,Lookups!$C$3:$C$11,0)),"")</f>
        <v>2</v>
      </c>
      <c r="L56" s="15" t="str">
        <f aca="false">IFERROR(INDEX(Lookups!$H$3:$H$11,MATCH(K56&amp;"|"&amp;J56,Lookups!$G$3:$G$11,0)),"")</f>
        <v>Medium</v>
      </c>
      <c r="M56" s="16" t="str">
        <f aca="false">IFERROR(INDEX(Lookups!$L$3:$L$5,MATCH(L56,Lookups!$K$3:$K$5,0)),"")</f>
        <v>Specify in the Functional Specification and verify by individual OQ test case (positive testing). Procedural control where user judgement is involved.</v>
      </c>
      <c r="N56" s="16" t="str">
        <f aca="false">IFERROR(INDEX(Lookups!$M$3:$M$5,MATCH(L56,Lookups!$K$3:$K$5,0)),"")</f>
        <v>Individual OQ test case — positive testing</v>
      </c>
      <c r="O56" s="16" t="s">
        <v>100</v>
      </c>
      <c r="P56" s="16" t="str">
        <f aca="false">IFERROR(INDEX(Lookups!$N$3:$N$5,MATCH(L56,Lookups!$K$3:$K$5,0)),"")</f>
        <v>Low</v>
      </c>
      <c r="Q56" s="16"/>
    </row>
    <row r="57" customFormat="false" ht="60" hidden="false" customHeight="true" outlineLevel="0" collapsed="false">
      <c r="A57" s="15" t="s">
        <v>283</v>
      </c>
      <c r="B57" s="15" t="s">
        <v>284</v>
      </c>
      <c r="C57" s="16" t="s">
        <v>280</v>
      </c>
      <c r="D57" s="16" t="s">
        <v>285</v>
      </c>
      <c r="E57" s="15" t="s">
        <v>97</v>
      </c>
      <c r="F57" s="15" t="s">
        <v>98</v>
      </c>
      <c r="G57" s="16" t="s">
        <v>282</v>
      </c>
      <c r="H57" s="15" t="s">
        <v>43</v>
      </c>
      <c r="I57" s="15" t="s">
        <v>45</v>
      </c>
      <c r="J57" s="15" t="s">
        <v>47</v>
      </c>
      <c r="K57" s="15" t="n">
        <f aca="false">IFERROR(INDEX(Lookups!$D$3:$D$11,MATCH(H57&amp;"|"&amp;I57,Lookups!$C$3:$C$11,0)),"")</f>
        <v>3</v>
      </c>
      <c r="L57" s="15" t="str">
        <f aca="false">IFERROR(INDEX(Lookups!$H$3:$H$11,MATCH(K57&amp;"|"&amp;J57,Lookups!$G$3:$G$11,0)),"")</f>
        <v>High</v>
      </c>
      <c r="M57" s="16" t="str">
        <f aca="false">IFERROR(INDEX(Lookups!$L$3:$L$5,MATCH(L57,Lookups!$K$3:$K$5,0)),"")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57" s="16" t="str">
        <f aca="false">IFERROR(INDEX(Lookups!$M$3:$M$5,MATCH(L57,Lookups!$K$3:$K$5,0)),"")</f>
        <v>Individual OQ test case — positive and negative testing, executed and witnessed</v>
      </c>
      <c r="O57" s="16" t="s">
        <v>100</v>
      </c>
      <c r="P57" s="16" t="str">
        <f aca="false">IFERROR(INDEX(Lookups!$N$3:$N$5,MATCH(L57,Lookups!$K$3:$K$5,0)),"")</f>
        <v>Medium (to be confirmed after test execution)</v>
      </c>
      <c r="Q57" s="16"/>
    </row>
    <row r="58" customFormat="false" ht="60" hidden="false" customHeight="true" outlineLevel="0" collapsed="false">
      <c r="A58" s="15" t="s">
        <v>286</v>
      </c>
      <c r="B58" s="15" t="s">
        <v>287</v>
      </c>
      <c r="C58" s="16" t="s">
        <v>280</v>
      </c>
      <c r="D58" s="16" t="s">
        <v>288</v>
      </c>
      <c r="E58" s="15" t="s">
        <v>97</v>
      </c>
      <c r="F58" s="15" t="s">
        <v>98</v>
      </c>
      <c r="G58" s="16" t="s">
        <v>282</v>
      </c>
      <c r="H58" s="15" t="s">
        <v>45</v>
      </c>
      <c r="I58" s="15" t="s">
        <v>45</v>
      </c>
      <c r="J58" s="15" t="s">
        <v>45</v>
      </c>
      <c r="K58" s="15" t="n">
        <f aca="false">IFERROR(INDEX(Lookups!$D$3:$D$11,MATCH(H58&amp;"|"&amp;I58,Lookups!$C$3:$C$11,0)),"")</f>
        <v>2</v>
      </c>
      <c r="L58" s="15" t="str">
        <f aca="false">IFERROR(INDEX(Lookups!$H$3:$H$11,MATCH(K58&amp;"|"&amp;J58,Lookups!$G$3:$G$11,0)),"")</f>
        <v>Medium</v>
      </c>
      <c r="M58" s="16" t="str">
        <f aca="false">IFERROR(INDEX(Lookups!$L$3:$L$5,MATCH(L58,Lookups!$K$3:$K$5,0)),"")</f>
        <v>Specify in the Functional Specification and verify by individual OQ test case (positive testing). Procedural control where user judgement is involved.</v>
      </c>
      <c r="N58" s="16" t="str">
        <f aca="false">IFERROR(INDEX(Lookups!$M$3:$M$5,MATCH(L58,Lookups!$K$3:$K$5,0)),"")</f>
        <v>Individual OQ test case — positive testing</v>
      </c>
      <c r="O58" s="16" t="s">
        <v>100</v>
      </c>
      <c r="P58" s="16" t="str">
        <f aca="false">IFERROR(INDEX(Lookups!$N$3:$N$5,MATCH(L58,Lookups!$K$3:$K$5,0)),"")</f>
        <v>Low</v>
      </c>
      <c r="Q58" s="16"/>
    </row>
    <row r="59" customFormat="false" ht="60" hidden="false" customHeight="true" outlineLevel="0" collapsed="false">
      <c r="A59" s="15" t="s">
        <v>289</v>
      </c>
      <c r="B59" s="15" t="s">
        <v>290</v>
      </c>
      <c r="C59" s="16" t="s">
        <v>280</v>
      </c>
      <c r="D59" s="16" t="s">
        <v>291</v>
      </c>
      <c r="E59" s="15" t="s">
        <v>97</v>
      </c>
      <c r="F59" s="15" t="s">
        <v>98</v>
      </c>
      <c r="G59" s="16" t="s">
        <v>282</v>
      </c>
      <c r="H59" s="15" t="s">
        <v>45</v>
      </c>
      <c r="I59" s="15" t="s">
        <v>45</v>
      </c>
      <c r="J59" s="15" t="s">
        <v>45</v>
      </c>
      <c r="K59" s="15" t="n">
        <f aca="false">IFERROR(INDEX(Lookups!$D$3:$D$11,MATCH(H59&amp;"|"&amp;I59,Lookups!$C$3:$C$11,0)),"")</f>
        <v>2</v>
      </c>
      <c r="L59" s="15" t="str">
        <f aca="false">IFERROR(INDEX(Lookups!$H$3:$H$11,MATCH(K59&amp;"|"&amp;J59,Lookups!$G$3:$G$11,0)),"")</f>
        <v>Medium</v>
      </c>
      <c r="M59" s="16" t="str">
        <f aca="false">IFERROR(INDEX(Lookups!$L$3:$L$5,MATCH(L59,Lookups!$K$3:$K$5,0)),"")</f>
        <v>Specify in the Functional Specification and verify by individual OQ test case (positive testing). Procedural control where user judgement is involved.</v>
      </c>
      <c r="N59" s="16" t="str">
        <f aca="false">IFERROR(INDEX(Lookups!$M$3:$M$5,MATCH(L59,Lookups!$K$3:$K$5,0)),"")</f>
        <v>Individual OQ test case — positive testing</v>
      </c>
      <c r="O59" s="16" t="s">
        <v>100</v>
      </c>
      <c r="P59" s="16" t="str">
        <f aca="false">IFERROR(INDEX(Lookups!$N$3:$N$5,MATCH(L59,Lookups!$K$3:$K$5,0)),"")</f>
        <v>Low</v>
      </c>
      <c r="Q59" s="16"/>
    </row>
    <row r="60" customFormat="false" ht="60" hidden="false" customHeight="true" outlineLevel="0" collapsed="false">
      <c r="A60" s="15" t="s">
        <v>292</v>
      </c>
      <c r="B60" s="15" t="s">
        <v>293</v>
      </c>
      <c r="C60" s="16" t="s">
        <v>280</v>
      </c>
      <c r="D60" s="16" t="s">
        <v>294</v>
      </c>
      <c r="E60" s="15" t="s">
        <v>97</v>
      </c>
      <c r="F60" s="15" t="s">
        <v>98</v>
      </c>
      <c r="G60" s="16" t="s">
        <v>282</v>
      </c>
      <c r="H60" s="15" t="s">
        <v>45</v>
      </c>
      <c r="I60" s="15" t="s">
        <v>45</v>
      </c>
      <c r="J60" s="15" t="s">
        <v>45</v>
      </c>
      <c r="K60" s="15" t="n">
        <f aca="false">IFERROR(INDEX(Lookups!$D$3:$D$11,MATCH(H60&amp;"|"&amp;I60,Lookups!$C$3:$C$11,0)),"")</f>
        <v>2</v>
      </c>
      <c r="L60" s="15" t="str">
        <f aca="false">IFERROR(INDEX(Lookups!$H$3:$H$11,MATCH(K60&amp;"|"&amp;J60,Lookups!$G$3:$G$11,0)),"")</f>
        <v>Medium</v>
      </c>
      <c r="M60" s="16" t="str">
        <f aca="false">IFERROR(INDEX(Lookups!$L$3:$L$5,MATCH(L60,Lookups!$K$3:$K$5,0)),"")</f>
        <v>Specify in the Functional Specification and verify by individual OQ test case (positive testing). Procedural control where user judgement is involved.</v>
      </c>
      <c r="N60" s="16" t="str">
        <f aca="false">IFERROR(INDEX(Lookups!$M$3:$M$5,MATCH(L60,Lookups!$K$3:$K$5,0)),"")</f>
        <v>Individual OQ test case — positive testing</v>
      </c>
      <c r="O60" s="16" t="s">
        <v>100</v>
      </c>
      <c r="P60" s="16" t="str">
        <f aca="false">IFERROR(INDEX(Lookups!$N$3:$N$5,MATCH(L60,Lookups!$K$3:$K$5,0)),"")</f>
        <v>Low</v>
      </c>
      <c r="Q60" s="16"/>
    </row>
    <row r="61" customFormat="false" ht="60" hidden="false" customHeight="true" outlineLevel="0" collapsed="false">
      <c r="A61" s="15" t="s">
        <v>295</v>
      </c>
      <c r="B61" s="15" t="s">
        <v>296</v>
      </c>
      <c r="C61" s="16" t="s">
        <v>280</v>
      </c>
      <c r="D61" s="16" t="s">
        <v>297</v>
      </c>
      <c r="E61" s="15" t="s">
        <v>171</v>
      </c>
      <c r="F61" s="15" t="s">
        <v>98</v>
      </c>
      <c r="G61" s="16" t="s">
        <v>282</v>
      </c>
      <c r="H61" s="15" t="s">
        <v>45</v>
      </c>
      <c r="I61" s="15" t="s">
        <v>45</v>
      </c>
      <c r="J61" s="15" t="s">
        <v>45</v>
      </c>
      <c r="K61" s="15" t="n">
        <f aca="false">IFERROR(INDEX(Lookups!$D$3:$D$11,MATCH(H61&amp;"|"&amp;I61,Lookups!$C$3:$C$11,0)),"")</f>
        <v>2</v>
      </c>
      <c r="L61" s="15" t="str">
        <f aca="false">IFERROR(INDEX(Lookups!$H$3:$H$11,MATCH(K61&amp;"|"&amp;J61,Lookups!$G$3:$G$11,0)),"")</f>
        <v>Medium</v>
      </c>
      <c r="M61" s="16" t="str">
        <f aca="false">IFERROR(INDEX(Lookups!$L$3:$L$5,MATCH(L61,Lookups!$K$3:$K$5,0)),"")</f>
        <v>Specify in the Functional Specification and verify by individual OQ test case (positive testing). Procedural control where user judgement is involved.</v>
      </c>
      <c r="N61" s="16" t="str">
        <f aca="false">IFERROR(INDEX(Lookups!$M$3:$M$5,MATCH(L61,Lookups!$K$3:$K$5,0)),"")</f>
        <v>Individual OQ test case — positive testing</v>
      </c>
      <c r="O61" s="16" t="s">
        <v>100</v>
      </c>
      <c r="P61" s="16" t="str">
        <f aca="false">IFERROR(INDEX(Lookups!$N$3:$N$5,MATCH(L61,Lookups!$K$3:$K$5,0)),"")</f>
        <v>Low</v>
      </c>
      <c r="Q61" s="16"/>
    </row>
    <row r="62" customFormat="false" ht="60" hidden="false" customHeight="true" outlineLevel="0" collapsed="false">
      <c r="A62" s="15" t="s">
        <v>298</v>
      </c>
      <c r="B62" s="15" t="s">
        <v>299</v>
      </c>
      <c r="C62" s="16" t="s">
        <v>280</v>
      </c>
      <c r="D62" s="16" t="s">
        <v>300</v>
      </c>
      <c r="E62" s="15" t="s">
        <v>97</v>
      </c>
      <c r="F62" s="15" t="s">
        <v>98</v>
      </c>
      <c r="G62" s="16" t="s">
        <v>282</v>
      </c>
      <c r="H62" s="15" t="s">
        <v>45</v>
      </c>
      <c r="I62" s="15" t="s">
        <v>45</v>
      </c>
      <c r="J62" s="15" t="s">
        <v>45</v>
      </c>
      <c r="K62" s="15" t="n">
        <f aca="false">IFERROR(INDEX(Lookups!$D$3:$D$11,MATCH(H62&amp;"|"&amp;I62,Lookups!$C$3:$C$11,0)),"")</f>
        <v>2</v>
      </c>
      <c r="L62" s="15" t="str">
        <f aca="false">IFERROR(INDEX(Lookups!$H$3:$H$11,MATCH(K62&amp;"|"&amp;J62,Lookups!$G$3:$G$11,0)),"")</f>
        <v>Medium</v>
      </c>
      <c r="M62" s="16" t="str">
        <f aca="false">IFERROR(INDEX(Lookups!$L$3:$L$5,MATCH(L62,Lookups!$K$3:$K$5,0)),"")</f>
        <v>Specify in the Functional Specification and verify by individual OQ test case (positive testing). Procedural control where user judgement is involved.</v>
      </c>
      <c r="N62" s="16" t="str">
        <f aca="false">IFERROR(INDEX(Lookups!$M$3:$M$5,MATCH(L62,Lookups!$K$3:$K$5,0)),"")</f>
        <v>Individual OQ test case — positive testing</v>
      </c>
      <c r="O62" s="16" t="s">
        <v>100</v>
      </c>
      <c r="P62" s="16" t="str">
        <f aca="false">IFERROR(INDEX(Lookups!$N$3:$N$5,MATCH(L62,Lookups!$K$3:$K$5,0)),"")</f>
        <v>Low</v>
      </c>
      <c r="Q62" s="16"/>
    </row>
    <row r="63" customFormat="false" ht="60" hidden="false" customHeight="true" outlineLevel="0" collapsed="false">
      <c r="A63" s="15" t="s">
        <v>301</v>
      </c>
      <c r="B63" s="15" t="s">
        <v>302</v>
      </c>
      <c r="C63" s="16" t="s">
        <v>280</v>
      </c>
      <c r="D63" s="16" t="s">
        <v>303</v>
      </c>
      <c r="E63" s="15" t="s">
        <v>97</v>
      </c>
      <c r="F63" s="15" t="s">
        <v>98</v>
      </c>
      <c r="G63" s="16" t="s">
        <v>282</v>
      </c>
      <c r="H63" s="15" t="s">
        <v>45</v>
      </c>
      <c r="I63" s="15" t="s">
        <v>45</v>
      </c>
      <c r="J63" s="15" t="s">
        <v>45</v>
      </c>
      <c r="K63" s="15" t="n">
        <f aca="false">IFERROR(INDEX(Lookups!$D$3:$D$11,MATCH(H63&amp;"|"&amp;I63,Lookups!$C$3:$C$11,0)),"")</f>
        <v>2</v>
      </c>
      <c r="L63" s="15" t="str">
        <f aca="false">IFERROR(INDEX(Lookups!$H$3:$H$11,MATCH(K63&amp;"|"&amp;J63,Lookups!$G$3:$G$11,0)),"")</f>
        <v>Medium</v>
      </c>
      <c r="M63" s="16" t="str">
        <f aca="false">IFERROR(INDEX(Lookups!$L$3:$L$5,MATCH(L63,Lookups!$K$3:$K$5,0)),"")</f>
        <v>Specify in the Functional Specification and verify by individual OQ test case (positive testing). Procedural control where user judgement is involved.</v>
      </c>
      <c r="N63" s="16" t="str">
        <f aca="false">IFERROR(INDEX(Lookups!$M$3:$M$5,MATCH(L63,Lookups!$K$3:$K$5,0)),"")</f>
        <v>Individual OQ test case — positive testing</v>
      </c>
      <c r="O63" s="16" t="s">
        <v>100</v>
      </c>
      <c r="P63" s="16" t="str">
        <f aca="false">IFERROR(INDEX(Lookups!$N$3:$N$5,MATCH(L63,Lookups!$K$3:$K$5,0)),"")</f>
        <v>Low</v>
      </c>
      <c r="Q63" s="16"/>
    </row>
    <row r="64" customFormat="false" ht="60" hidden="false" customHeight="true" outlineLevel="0" collapsed="false">
      <c r="A64" s="15" t="s">
        <v>304</v>
      </c>
      <c r="B64" s="15" t="s">
        <v>305</v>
      </c>
      <c r="C64" s="16" t="s">
        <v>280</v>
      </c>
      <c r="D64" s="16" t="s">
        <v>306</v>
      </c>
      <c r="E64" s="15" t="s">
        <v>97</v>
      </c>
      <c r="F64" s="15" t="s">
        <v>98</v>
      </c>
      <c r="G64" s="16" t="s">
        <v>282</v>
      </c>
      <c r="H64" s="15" t="s">
        <v>45</v>
      </c>
      <c r="I64" s="15" t="s">
        <v>45</v>
      </c>
      <c r="J64" s="15" t="s">
        <v>45</v>
      </c>
      <c r="K64" s="15" t="n">
        <f aca="false">IFERROR(INDEX(Lookups!$D$3:$D$11,MATCH(H64&amp;"|"&amp;I64,Lookups!$C$3:$C$11,0)),"")</f>
        <v>2</v>
      </c>
      <c r="L64" s="15" t="str">
        <f aca="false">IFERROR(INDEX(Lookups!$H$3:$H$11,MATCH(K64&amp;"|"&amp;J64,Lookups!$G$3:$G$11,0)),"")</f>
        <v>Medium</v>
      </c>
      <c r="M64" s="16" t="str">
        <f aca="false">IFERROR(INDEX(Lookups!$L$3:$L$5,MATCH(L64,Lookups!$K$3:$K$5,0)),"")</f>
        <v>Specify in the Functional Specification and verify by individual OQ test case (positive testing). Procedural control where user judgement is involved.</v>
      </c>
      <c r="N64" s="16" t="str">
        <f aca="false">IFERROR(INDEX(Lookups!$M$3:$M$5,MATCH(L64,Lookups!$K$3:$K$5,0)),"")</f>
        <v>Individual OQ test case — positive testing</v>
      </c>
      <c r="O64" s="16" t="s">
        <v>100</v>
      </c>
      <c r="P64" s="16" t="str">
        <f aca="false">IFERROR(INDEX(Lookups!$N$3:$N$5,MATCH(L64,Lookups!$K$3:$K$5,0)),"")</f>
        <v>Low</v>
      </c>
      <c r="Q64" s="16"/>
    </row>
    <row r="65" customFormat="false" ht="60" hidden="false" customHeight="true" outlineLevel="0" collapsed="false">
      <c r="A65" s="15" t="s">
        <v>307</v>
      </c>
      <c r="B65" s="15" t="s">
        <v>308</v>
      </c>
      <c r="C65" s="16" t="s">
        <v>280</v>
      </c>
      <c r="D65" s="16" t="s">
        <v>309</v>
      </c>
      <c r="E65" s="15" t="s">
        <v>97</v>
      </c>
      <c r="F65" s="15" t="s">
        <v>98</v>
      </c>
      <c r="G65" s="16" t="s">
        <v>282</v>
      </c>
      <c r="H65" s="15" t="s">
        <v>45</v>
      </c>
      <c r="I65" s="15" t="s">
        <v>45</v>
      </c>
      <c r="J65" s="15" t="s">
        <v>45</v>
      </c>
      <c r="K65" s="15" t="n">
        <f aca="false">IFERROR(INDEX(Lookups!$D$3:$D$11,MATCH(H65&amp;"|"&amp;I65,Lookups!$C$3:$C$11,0)),"")</f>
        <v>2</v>
      </c>
      <c r="L65" s="15" t="str">
        <f aca="false">IFERROR(INDEX(Lookups!$H$3:$H$11,MATCH(K65&amp;"|"&amp;J65,Lookups!$G$3:$G$11,0)),"")</f>
        <v>Medium</v>
      </c>
      <c r="M65" s="16" t="str">
        <f aca="false">IFERROR(INDEX(Lookups!$L$3:$L$5,MATCH(L65,Lookups!$K$3:$K$5,0)),"")</f>
        <v>Specify in the Functional Specification and verify by individual OQ test case (positive testing). Procedural control where user judgement is involved.</v>
      </c>
      <c r="N65" s="16" t="str">
        <f aca="false">IFERROR(INDEX(Lookups!$M$3:$M$5,MATCH(L65,Lookups!$K$3:$K$5,0)),"")</f>
        <v>Individual OQ test case — positive testing</v>
      </c>
      <c r="O65" s="16" t="s">
        <v>100</v>
      </c>
      <c r="P65" s="16" t="str">
        <f aca="false">IFERROR(INDEX(Lookups!$N$3:$N$5,MATCH(L65,Lookups!$K$3:$K$5,0)),"")</f>
        <v>Low</v>
      </c>
      <c r="Q65" s="16"/>
    </row>
    <row r="66" customFormat="false" ht="60" hidden="false" customHeight="true" outlineLevel="0" collapsed="false">
      <c r="A66" s="15" t="s">
        <v>310</v>
      </c>
      <c r="B66" s="15" t="s">
        <v>311</v>
      </c>
      <c r="C66" s="16" t="s">
        <v>280</v>
      </c>
      <c r="D66" s="16" t="s">
        <v>312</v>
      </c>
      <c r="E66" s="15" t="s">
        <v>97</v>
      </c>
      <c r="F66" s="15" t="s">
        <v>98</v>
      </c>
      <c r="G66" s="16" t="s">
        <v>282</v>
      </c>
      <c r="H66" s="15" t="s">
        <v>43</v>
      </c>
      <c r="I66" s="15" t="s">
        <v>45</v>
      </c>
      <c r="J66" s="15" t="s">
        <v>45</v>
      </c>
      <c r="K66" s="15" t="n">
        <f aca="false">IFERROR(INDEX(Lookups!$D$3:$D$11,MATCH(H66&amp;"|"&amp;I66,Lookups!$C$3:$C$11,0)),"")</f>
        <v>3</v>
      </c>
      <c r="L66" s="15" t="str">
        <f aca="false">IFERROR(INDEX(Lookups!$H$3:$H$11,MATCH(K66&amp;"|"&amp;J66,Lookups!$G$3:$G$11,0)),"")</f>
        <v>High</v>
      </c>
      <c r="M66" s="16" t="str">
        <f aca="false">IFERROR(INDEX(Lookups!$L$3:$L$5,MATCH(L66,Lookups!$K$3:$K$5,0)),"")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66" s="16" t="str">
        <f aca="false">IFERROR(INDEX(Lookups!$M$3:$M$5,MATCH(L66,Lookups!$K$3:$K$5,0)),"")</f>
        <v>Individual OQ test case — positive and negative testing, executed and witnessed</v>
      </c>
      <c r="O66" s="16" t="s">
        <v>100</v>
      </c>
      <c r="P66" s="16" t="str">
        <f aca="false">IFERROR(INDEX(Lookups!$N$3:$N$5,MATCH(L66,Lookups!$K$3:$K$5,0)),"")</f>
        <v>Medium (to be confirmed after test execution)</v>
      </c>
      <c r="Q66" s="16"/>
    </row>
    <row r="67" customFormat="false" ht="60" hidden="false" customHeight="true" outlineLevel="0" collapsed="false">
      <c r="A67" s="15" t="s">
        <v>313</v>
      </c>
      <c r="B67" s="15" t="s">
        <v>314</v>
      </c>
      <c r="C67" s="16" t="s">
        <v>315</v>
      </c>
      <c r="D67" s="16" t="s">
        <v>316</v>
      </c>
      <c r="E67" s="15" t="s">
        <v>97</v>
      </c>
      <c r="F67" s="15" t="s">
        <v>98</v>
      </c>
      <c r="G67" s="16" t="s">
        <v>317</v>
      </c>
      <c r="H67" s="15" t="s">
        <v>45</v>
      </c>
      <c r="I67" s="15" t="s">
        <v>45</v>
      </c>
      <c r="J67" s="15" t="s">
        <v>45</v>
      </c>
      <c r="K67" s="15" t="n">
        <f aca="false">IFERROR(INDEX(Lookups!$D$3:$D$11,MATCH(H67&amp;"|"&amp;I67,Lookups!$C$3:$C$11,0)),"")</f>
        <v>2</v>
      </c>
      <c r="L67" s="15" t="str">
        <f aca="false">IFERROR(INDEX(Lookups!$H$3:$H$11,MATCH(K67&amp;"|"&amp;J67,Lookups!$G$3:$G$11,0)),"")</f>
        <v>Medium</v>
      </c>
      <c r="M67" s="16" t="str">
        <f aca="false">IFERROR(INDEX(Lookups!$L$3:$L$5,MATCH(L67,Lookups!$K$3:$K$5,0)),"")</f>
        <v>Specify in the Functional Specification and verify by individual OQ test case (positive testing). Procedural control where user judgement is involved.</v>
      </c>
      <c r="N67" s="16" t="str">
        <f aca="false">IFERROR(INDEX(Lookups!$M$3:$M$5,MATCH(L67,Lookups!$K$3:$K$5,0)),"")</f>
        <v>Individual OQ test case — positive testing</v>
      </c>
      <c r="O67" s="16" t="s">
        <v>100</v>
      </c>
      <c r="P67" s="16" t="str">
        <f aca="false">IFERROR(INDEX(Lookups!$N$3:$N$5,MATCH(L67,Lookups!$K$3:$K$5,0)),"")</f>
        <v>Low</v>
      </c>
      <c r="Q67" s="16"/>
    </row>
    <row r="68" customFormat="false" ht="60" hidden="false" customHeight="true" outlineLevel="0" collapsed="false">
      <c r="A68" s="15" t="s">
        <v>318</v>
      </c>
      <c r="B68" s="15" t="s">
        <v>319</v>
      </c>
      <c r="C68" s="16" t="s">
        <v>315</v>
      </c>
      <c r="D68" s="16" t="s">
        <v>320</v>
      </c>
      <c r="E68" s="15" t="s">
        <v>97</v>
      </c>
      <c r="F68" s="15" t="s">
        <v>98</v>
      </c>
      <c r="G68" s="16" t="s">
        <v>317</v>
      </c>
      <c r="H68" s="15" t="s">
        <v>43</v>
      </c>
      <c r="I68" s="15" t="s">
        <v>47</v>
      </c>
      <c r="J68" s="15" t="s">
        <v>43</v>
      </c>
      <c r="K68" s="15" t="n">
        <f aca="false">IFERROR(INDEX(Lookups!$D$3:$D$11,MATCH(H68&amp;"|"&amp;I68,Lookups!$C$3:$C$11,0)),"")</f>
        <v>2</v>
      </c>
      <c r="L68" s="15" t="str">
        <f aca="false">IFERROR(INDEX(Lookups!$H$3:$H$11,MATCH(K68&amp;"|"&amp;J68,Lookups!$G$3:$G$11,0)),"")</f>
        <v>Low</v>
      </c>
      <c r="M68" s="16" t="str">
        <f aca="false">IFERROR(INDEX(Lookups!$L$3:$L$5,MATCH(L68,Lookups!$K$3:$K$5,0)),"")</f>
        <v>Verify by grouped OQ execution or PQ/UAT scenario. No additional design control required beyond standard development and code review.</v>
      </c>
      <c r="N68" s="16" t="str">
        <f aca="false">IFERROR(INDEX(Lookups!$M$3:$M$5,MATCH(L68,Lookups!$K$3:$K$5,0)),"")</f>
        <v>Grouped OQ / PQ-UAT scenario verification</v>
      </c>
      <c r="O68" s="16" t="s">
        <v>100</v>
      </c>
      <c r="P68" s="16" t="str">
        <f aca="false">IFERROR(INDEX(Lookups!$N$3:$N$5,MATCH(L68,Lookups!$K$3:$K$5,0)),"")</f>
        <v>Low</v>
      </c>
      <c r="Q68" s="16"/>
    </row>
    <row r="69" customFormat="false" ht="60" hidden="false" customHeight="true" outlineLevel="0" collapsed="false">
      <c r="A69" s="15" t="s">
        <v>321</v>
      </c>
      <c r="B69" s="15" t="s">
        <v>322</v>
      </c>
      <c r="C69" s="16" t="s">
        <v>315</v>
      </c>
      <c r="D69" s="16" t="s">
        <v>323</v>
      </c>
      <c r="E69" s="15" t="s">
        <v>97</v>
      </c>
      <c r="F69" s="15" t="s">
        <v>98</v>
      </c>
      <c r="G69" s="16" t="s">
        <v>317</v>
      </c>
      <c r="H69" s="15" t="s">
        <v>45</v>
      </c>
      <c r="I69" s="15" t="s">
        <v>45</v>
      </c>
      <c r="J69" s="15" t="s">
        <v>45</v>
      </c>
      <c r="K69" s="15" t="n">
        <f aca="false">IFERROR(INDEX(Lookups!$D$3:$D$11,MATCH(H69&amp;"|"&amp;I69,Lookups!$C$3:$C$11,0)),"")</f>
        <v>2</v>
      </c>
      <c r="L69" s="15" t="str">
        <f aca="false">IFERROR(INDEX(Lookups!$H$3:$H$11,MATCH(K69&amp;"|"&amp;J69,Lookups!$G$3:$G$11,0)),"")</f>
        <v>Medium</v>
      </c>
      <c r="M69" s="16" t="str">
        <f aca="false">IFERROR(INDEX(Lookups!$L$3:$L$5,MATCH(L69,Lookups!$K$3:$K$5,0)),"")</f>
        <v>Specify in the Functional Specification and verify by individual OQ test case (positive testing). Procedural control where user judgement is involved.</v>
      </c>
      <c r="N69" s="16" t="str">
        <f aca="false">IFERROR(INDEX(Lookups!$M$3:$M$5,MATCH(L69,Lookups!$K$3:$K$5,0)),"")</f>
        <v>Individual OQ test case — positive testing</v>
      </c>
      <c r="O69" s="16" t="s">
        <v>100</v>
      </c>
      <c r="P69" s="16" t="str">
        <f aca="false">IFERROR(INDEX(Lookups!$N$3:$N$5,MATCH(L69,Lookups!$K$3:$K$5,0)),"")</f>
        <v>Low</v>
      </c>
      <c r="Q69" s="16"/>
    </row>
    <row r="70" customFormat="false" ht="60" hidden="false" customHeight="true" outlineLevel="0" collapsed="false">
      <c r="A70" s="15" t="s">
        <v>324</v>
      </c>
      <c r="B70" s="15" t="s">
        <v>325</v>
      </c>
      <c r="C70" s="16" t="s">
        <v>315</v>
      </c>
      <c r="D70" s="16" t="s">
        <v>326</v>
      </c>
      <c r="E70" s="15" t="s">
        <v>97</v>
      </c>
      <c r="F70" s="15" t="s">
        <v>98</v>
      </c>
      <c r="G70" s="16" t="s">
        <v>317</v>
      </c>
      <c r="H70" s="15" t="s">
        <v>45</v>
      </c>
      <c r="I70" s="15" t="s">
        <v>45</v>
      </c>
      <c r="J70" s="15" t="s">
        <v>45</v>
      </c>
      <c r="K70" s="15" t="n">
        <f aca="false">IFERROR(INDEX(Lookups!$D$3:$D$11,MATCH(H70&amp;"|"&amp;I70,Lookups!$C$3:$C$11,0)),"")</f>
        <v>2</v>
      </c>
      <c r="L70" s="15" t="str">
        <f aca="false">IFERROR(INDEX(Lookups!$H$3:$H$11,MATCH(K70&amp;"|"&amp;J70,Lookups!$G$3:$G$11,0)),"")</f>
        <v>Medium</v>
      </c>
      <c r="M70" s="16" t="str">
        <f aca="false">IFERROR(INDEX(Lookups!$L$3:$L$5,MATCH(L70,Lookups!$K$3:$K$5,0)),"")</f>
        <v>Specify in the Functional Specification and verify by individual OQ test case (positive testing). Procedural control where user judgement is involved.</v>
      </c>
      <c r="N70" s="16" t="str">
        <f aca="false">IFERROR(INDEX(Lookups!$M$3:$M$5,MATCH(L70,Lookups!$K$3:$K$5,0)),"")</f>
        <v>Individual OQ test case — positive testing</v>
      </c>
      <c r="O70" s="16" t="s">
        <v>100</v>
      </c>
      <c r="P70" s="16" t="str">
        <f aca="false">IFERROR(INDEX(Lookups!$N$3:$N$5,MATCH(L70,Lookups!$K$3:$K$5,0)),"")</f>
        <v>Low</v>
      </c>
      <c r="Q70" s="16"/>
    </row>
    <row r="71" customFormat="false" ht="60" hidden="false" customHeight="true" outlineLevel="0" collapsed="false">
      <c r="A71" s="15" t="s">
        <v>327</v>
      </c>
      <c r="B71" s="15" t="s">
        <v>328</v>
      </c>
      <c r="C71" s="16" t="s">
        <v>315</v>
      </c>
      <c r="D71" s="16" t="s">
        <v>329</v>
      </c>
      <c r="E71" s="15" t="s">
        <v>97</v>
      </c>
      <c r="F71" s="15" t="s">
        <v>98</v>
      </c>
      <c r="G71" s="16" t="s">
        <v>330</v>
      </c>
      <c r="H71" s="15" t="s">
        <v>43</v>
      </c>
      <c r="I71" s="15" t="s">
        <v>45</v>
      </c>
      <c r="J71" s="15" t="s">
        <v>45</v>
      </c>
      <c r="K71" s="15" t="n">
        <f aca="false">IFERROR(INDEX(Lookups!$D$3:$D$11,MATCH(H71&amp;"|"&amp;I71,Lookups!$C$3:$C$11,0)),"")</f>
        <v>3</v>
      </c>
      <c r="L71" s="15" t="str">
        <f aca="false">IFERROR(INDEX(Lookups!$H$3:$H$11,MATCH(K71&amp;"|"&amp;J71,Lookups!$G$3:$G$11,0)),"")</f>
        <v>High</v>
      </c>
      <c r="M71" s="16" t="str">
        <f aca="false">IFERROR(INDEX(Lookups!$L$3:$L$5,MATCH(L71,Lookups!$K$3:$K$5,0)),"")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71" s="16" t="str">
        <f aca="false">IFERROR(INDEX(Lookups!$M$3:$M$5,MATCH(L71,Lookups!$K$3:$K$5,0)),"")</f>
        <v>Individual OQ test case — positive and negative testing, executed and witnessed</v>
      </c>
      <c r="O71" s="16" t="s">
        <v>100</v>
      </c>
      <c r="P71" s="16" t="str">
        <f aca="false">IFERROR(INDEX(Lookups!$N$3:$N$5,MATCH(L71,Lookups!$K$3:$K$5,0)),"")</f>
        <v>Medium (to be confirmed after test execution)</v>
      </c>
      <c r="Q71" s="16"/>
    </row>
    <row r="72" customFormat="false" ht="60" hidden="false" customHeight="true" outlineLevel="0" collapsed="false">
      <c r="A72" s="15" t="s">
        <v>331</v>
      </c>
      <c r="B72" s="15" t="s">
        <v>332</v>
      </c>
      <c r="C72" s="16" t="s">
        <v>315</v>
      </c>
      <c r="D72" s="16" t="s">
        <v>333</v>
      </c>
      <c r="E72" s="15" t="s">
        <v>97</v>
      </c>
      <c r="F72" s="15" t="s">
        <v>98</v>
      </c>
      <c r="G72" s="16" t="s">
        <v>334</v>
      </c>
      <c r="H72" s="15" t="s">
        <v>43</v>
      </c>
      <c r="I72" s="15" t="s">
        <v>45</v>
      </c>
      <c r="J72" s="15" t="s">
        <v>45</v>
      </c>
      <c r="K72" s="15" t="n">
        <f aca="false">IFERROR(INDEX(Lookups!$D$3:$D$11,MATCH(H72&amp;"|"&amp;I72,Lookups!$C$3:$C$11,0)),"")</f>
        <v>3</v>
      </c>
      <c r="L72" s="15" t="str">
        <f aca="false">IFERROR(INDEX(Lookups!$H$3:$H$11,MATCH(K72&amp;"|"&amp;J72,Lookups!$G$3:$G$11,0)),"")</f>
        <v>High</v>
      </c>
      <c r="M72" s="16" t="str">
        <f aca="false">IFERROR(INDEX(Lookups!$L$3:$L$5,MATCH(L72,Lookups!$K$3:$K$5,0)),"")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72" s="16" t="str">
        <f aca="false">IFERROR(INDEX(Lookups!$M$3:$M$5,MATCH(L72,Lookups!$K$3:$K$5,0)),"")</f>
        <v>Individual OQ test case — positive and negative testing, executed and witnessed</v>
      </c>
      <c r="O72" s="16" t="s">
        <v>100</v>
      </c>
      <c r="P72" s="16" t="str">
        <f aca="false">IFERROR(INDEX(Lookups!$N$3:$N$5,MATCH(L72,Lookups!$K$3:$K$5,0)),"")</f>
        <v>Medium (to be confirmed after test execution)</v>
      </c>
      <c r="Q72" s="16"/>
    </row>
    <row r="73" customFormat="false" ht="60" hidden="false" customHeight="true" outlineLevel="0" collapsed="false">
      <c r="A73" s="15" t="s">
        <v>335</v>
      </c>
      <c r="B73" s="15" t="s">
        <v>336</v>
      </c>
      <c r="C73" s="16" t="s">
        <v>315</v>
      </c>
      <c r="D73" s="16" t="s">
        <v>337</v>
      </c>
      <c r="E73" s="15" t="s">
        <v>97</v>
      </c>
      <c r="F73" s="15" t="s">
        <v>98</v>
      </c>
      <c r="G73" s="16" t="s">
        <v>317</v>
      </c>
      <c r="H73" s="15" t="s">
        <v>45</v>
      </c>
      <c r="I73" s="15" t="s">
        <v>45</v>
      </c>
      <c r="J73" s="15" t="s">
        <v>45</v>
      </c>
      <c r="K73" s="15" t="n">
        <f aca="false">IFERROR(INDEX(Lookups!$D$3:$D$11,MATCH(H73&amp;"|"&amp;I73,Lookups!$C$3:$C$11,0)),"")</f>
        <v>2</v>
      </c>
      <c r="L73" s="15" t="str">
        <f aca="false">IFERROR(INDEX(Lookups!$H$3:$H$11,MATCH(K73&amp;"|"&amp;J73,Lookups!$G$3:$G$11,0)),"")</f>
        <v>Medium</v>
      </c>
      <c r="M73" s="16" t="str">
        <f aca="false">IFERROR(INDEX(Lookups!$L$3:$L$5,MATCH(L73,Lookups!$K$3:$K$5,0)),"")</f>
        <v>Specify in the Functional Specification and verify by individual OQ test case (positive testing). Procedural control where user judgement is involved.</v>
      </c>
      <c r="N73" s="16" t="str">
        <f aca="false">IFERROR(INDEX(Lookups!$M$3:$M$5,MATCH(L73,Lookups!$K$3:$K$5,0)),"")</f>
        <v>Individual OQ test case — positive testing</v>
      </c>
      <c r="O73" s="16" t="s">
        <v>100</v>
      </c>
      <c r="P73" s="16" t="str">
        <f aca="false">IFERROR(INDEX(Lookups!$N$3:$N$5,MATCH(L73,Lookups!$K$3:$K$5,0)),"")</f>
        <v>Low</v>
      </c>
      <c r="Q73" s="16"/>
    </row>
    <row r="74" customFormat="false" ht="60" hidden="false" customHeight="true" outlineLevel="0" collapsed="false">
      <c r="A74" s="15" t="s">
        <v>338</v>
      </c>
      <c r="B74" s="15" t="s">
        <v>339</v>
      </c>
      <c r="C74" s="16" t="s">
        <v>315</v>
      </c>
      <c r="D74" s="16" t="s">
        <v>340</v>
      </c>
      <c r="E74" s="15" t="s">
        <v>97</v>
      </c>
      <c r="F74" s="15" t="s">
        <v>98</v>
      </c>
      <c r="G74" s="16" t="s">
        <v>317</v>
      </c>
      <c r="H74" s="15" t="s">
        <v>45</v>
      </c>
      <c r="I74" s="15" t="s">
        <v>45</v>
      </c>
      <c r="J74" s="15" t="s">
        <v>45</v>
      </c>
      <c r="K74" s="15" t="n">
        <f aca="false">IFERROR(INDEX(Lookups!$D$3:$D$11,MATCH(H74&amp;"|"&amp;I74,Lookups!$C$3:$C$11,0)),"")</f>
        <v>2</v>
      </c>
      <c r="L74" s="15" t="str">
        <f aca="false">IFERROR(INDEX(Lookups!$H$3:$H$11,MATCH(K74&amp;"|"&amp;J74,Lookups!$G$3:$G$11,0)),"")</f>
        <v>Medium</v>
      </c>
      <c r="M74" s="16" t="str">
        <f aca="false">IFERROR(INDEX(Lookups!$L$3:$L$5,MATCH(L74,Lookups!$K$3:$K$5,0)),"")</f>
        <v>Specify in the Functional Specification and verify by individual OQ test case (positive testing). Procedural control where user judgement is involved.</v>
      </c>
      <c r="N74" s="16" t="str">
        <f aca="false">IFERROR(INDEX(Lookups!$M$3:$M$5,MATCH(L74,Lookups!$K$3:$K$5,0)),"")</f>
        <v>Individual OQ test case — positive testing</v>
      </c>
      <c r="O74" s="16" t="s">
        <v>100</v>
      </c>
      <c r="P74" s="16" t="str">
        <f aca="false">IFERROR(INDEX(Lookups!$N$3:$N$5,MATCH(L74,Lookups!$K$3:$K$5,0)),"")</f>
        <v>Low</v>
      </c>
      <c r="Q74" s="16"/>
    </row>
    <row r="75" customFormat="false" ht="60" hidden="false" customHeight="true" outlineLevel="0" collapsed="false">
      <c r="A75" s="15" t="s">
        <v>341</v>
      </c>
      <c r="B75" s="15" t="s">
        <v>342</v>
      </c>
      <c r="C75" s="16" t="s">
        <v>315</v>
      </c>
      <c r="D75" s="16" t="s">
        <v>343</v>
      </c>
      <c r="E75" s="15" t="s">
        <v>97</v>
      </c>
      <c r="F75" s="15" t="s">
        <v>98</v>
      </c>
      <c r="G75" s="16" t="s">
        <v>317</v>
      </c>
      <c r="H75" s="15" t="s">
        <v>43</v>
      </c>
      <c r="I75" s="15" t="s">
        <v>45</v>
      </c>
      <c r="J75" s="15" t="s">
        <v>45</v>
      </c>
      <c r="K75" s="15" t="n">
        <f aca="false">IFERROR(INDEX(Lookups!$D$3:$D$11,MATCH(H75&amp;"|"&amp;I75,Lookups!$C$3:$C$11,0)),"")</f>
        <v>3</v>
      </c>
      <c r="L75" s="15" t="str">
        <f aca="false">IFERROR(INDEX(Lookups!$H$3:$H$11,MATCH(K75&amp;"|"&amp;J75,Lookups!$G$3:$G$11,0)),"")</f>
        <v>High</v>
      </c>
      <c r="M75" s="16" t="str">
        <f aca="false">IFERROR(INDEX(Lookups!$L$3:$L$5,MATCH(L75,Lookups!$K$3:$K$5,0)),"")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75" s="16" t="str">
        <f aca="false">IFERROR(INDEX(Lookups!$M$3:$M$5,MATCH(L75,Lookups!$K$3:$K$5,0)),"")</f>
        <v>Individual OQ test case — positive and negative testing, executed and witnessed</v>
      </c>
      <c r="O75" s="16" t="s">
        <v>100</v>
      </c>
      <c r="P75" s="16" t="str">
        <f aca="false">IFERROR(INDEX(Lookups!$N$3:$N$5,MATCH(L75,Lookups!$K$3:$K$5,0)),"")</f>
        <v>Medium (to be confirmed after test execution)</v>
      </c>
      <c r="Q75" s="16"/>
    </row>
    <row r="76" customFormat="false" ht="60" hidden="false" customHeight="true" outlineLevel="0" collapsed="false">
      <c r="A76" s="15" t="s">
        <v>344</v>
      </c>
      <c r="B76" s="15" t="s">
        <v>345</v>
      </c>
      <c r="C76" s="16" t="s">
        <v>315</v>
      </c>
      <c r="D76" s="16" t="s">
        <v>346</v>
      </c>
      <c r="E76" s="15" t="s">
        <v>97</v>
      </c>
      <c r="F76" s="15" t="s">
        <v>98</v>
      </c>
      <c r="G76" s="16" t="s">
        <v>317</v>
      </c>
      <c r="H76" s="15" t="s">
        <v>45</v>
      </c>
      <c r="I76" s="15" t="s">
        <v>45</v>
      </c>
      <c r="J76" s="15" t="s">
        <v>45</v>
      </c>
      <c r="K76" s="15" t="n">
        <f aca="false">IFERROR(INDEX(Lookups!$D$3:$D$11,MATCH(H76&amp;"|"&amp;I76,Lookups!$C$3:$C$11,0)),"")</f>
        <v>2</v>
      </c>
      <c r="L76" s="15" t="str">
        <f aca="false">IFERROR(INDEX(Lookups!$H$3:$H$11,MATCH(K76&amp;"|"&amp;J76,Lookups!$G$3:$G$11,0)),"")</f>
        <v>Medium</v>
      </c>
      <c r="M76" s="16" t="str">
        <f aca="false">IFERROR(INDEX(Lookups!$L$3:$L$5,MATCH(L76,Lookups!$K$3:$K$5,0)),"")</f>
        <v>Specify in the Functional Specification and verify by individual OQ test case (positive testing). Procedural control where user judgement is involved.</v>
      </c>
      <c r="N76" s="16" t="str">
        <f aca="false">IFERROR(INDEX(Lookups!$M$3:$M$5,MATCH(L76,Lookups!$K$3:$K$5,0)),"")</f>
        <v>Individual OQ test case — positive testing</v>
      </c>
      <c r="O76" s="16" t="s">
        <v>100</v>
      </c>
      <c r="P76" s="16" t="str">
        <f aca="false">IFERROR(INDEX(Lookups!$N$3:$N$5,MATCH(L76,Lookups!$K$3:$K$5,0)),"")</f>
        <v>Low</v>
      </c>
      <c r="Q76" s="16"/>
    </row>
    <row r="77" customFormat="false" ht="60" hidden="false" customHeight="true" outlineLevel="0" collapsed="false">
      <c r="A77" s="15" t="s">
        <v>347</v>
      </c>
      <c r="B77" s="15" t="s">
        <v>348</v>
      </c>
      <c r="C77" s="16" t="s">
        <v>315</v>
      </c>
      <c r="D77" s="16" t="s">
        <v>349</v>
      </c>
      <c r="E77" s="15" t="s">
        <v>97</v>
      </c>
      <c r="F77" s="15" t="s">
        <v>98</v>
      </c>
      <c r="G77" s="16" t="s">
        <v>350</v>
      </c>
      <c r="H77" s="15" t="s">
        <v>43</v>
      </c>
      <c r="I77" s="15" t="s">
        <v>45</v>
      </c>
      <c r="J77" s="15" t="s">
        <v>45</v>
      </c>
      <c r="K77" s="15" t="n">
        <f aca="false">IFERROR(INDEX(Lookups!$D$3:$D$11,MATCH(H77&amp;"|"&amp;I77,Lookups!$C$3:$C$11,0)),"")</f>
        <v>3</v>
      </c>
      <c r="L77" s="15" t="str">
        <f aca="false">IFERROR(INDEX(Lookups!$H$3:$H$11,MATCH(K77&amp;"|"&amp;J77,Lookups!$G$3:$G$11,0)),"")</f>
        <v>High</v>
      </c>
      <c r="M77" s="16" t="str">
        <f aca="false">IFERROR(INDEX(Lookups!$L$3:$L$5,MATCH(L77,Lookups!$K$3:$K$5,0)),"")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77" s="16" t="str">
        <f aca="false">IFERROR(INDEX(Lookups!$M$3:$M$5,MATCH(L77,Lookups!$K$3:$K$5,0)),"")</f>
        <v>Individual OQ test case — positive and negative testing, executed and witnessed</v>
      </c>
      <c r="O77" s="16" t="s">
        <v>100</v>
      </c>
      <c r="P77" s="16" t="str">
        <f aca="false">IFERROR(INDEX(Lookups!$N$3:$N$5,MATCH(L77,Lookups!$K$3:$K$5,0)),"")</f>
        <v>Medium (to be confirmed after test execution)</v>
      </c>
      <c r="Q77" s="16"/>
    </row>
    <row r="78" customFormat="false" ht="60" hidden="false" customHeight="true" outlineLevel="0" collapsed="false">
      <c r="A78" s="15" t="s">
        <v>351</v>
      </c>
      <c r="B78" s="15" t="s">
        <v>352</v>
      </c>
      <c r="C78" s="16" t="s">
        <v>315</v>
      </c>
      <c r="D78" s="16" t="s">
        <v>353</v>
      </c>
      <c r="E78" s="15" t="s">
        <v>97</v>
      </c>
      <c r="F78" s="15" t="s">
        <v>98</v>
      </c>
      <c r="G78" s="16" t="s">
        <v>354</v>
      </c>
      <c r="H78" s="15" t="s">
        <v>43</v>
      </c>
      <c r="I78" s="15" t="s">
        <v>45</v>
      </c>
      <c r="J78" s="15" t="s">
        <v>47</v>
      </c>
      <c r="K78" s="15" t="n">
        <f aca="false">IFERROR(INDEX(Lookups!$D$3:$D$11,MATCH(H78&amp;"|"&amp;I78,Lookups!$C$3:$C$11,0)),"")</f>
        <v>3</v>
      </c>
      <c r="L78" s="15" t="str">
        <f aca="false">IFERROR(INDEX(Lookups!$H$3:$H$11,MATCH(K78&amp;"|"&amp;J78,Lookups!$G$3:$G$11,0)),"")</f>
        <v>High</v>
      </c>
      <c r="M78" s="16" t="str">
        <f aca="false">IFERROR(INDEX(Lookups!$L$3:$L$5,MATCH(L78,Lookups!$K$3:$K$5,0)),"")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78" s="16" t="str">
        <f aca="false">IFERROR(INDEX(Lookups!$M$3:$M$5,MATCH(L78,Lookups!$K$3:$K$5,0)),"")</f>
        <v>Individual OQ test case — positive and negative testing, executed and witnessed</v>
      </c>
      <c r="O78" s="16" t="s">
        <v>100</v>
      </c>
      <c r="P78" s="16" t="str">
        <f aca="false">IFERROR(INDEX(Lookups!$N$3:$N$5,MATCH(L78,Lookups!$K$3:$K$5,0)),"")</f>
        <v>Medium (to be confirmed after test execution)</v>
      </c>
      <c r="Q78" s="16"/>
    </row>
    <row r="79" customFormat="false" ht="60" hidden="false" customHeight="true" outlineLevel="0" collapsed="false">
      <c r="A79" s="15" t="s">
        <v>355</v>
      </c>
      <c r="B79" s="15" t="s">
        <v>356</v>
      </c>
      <c r="C79" s="16" t="s">
        <v>315</v>
      </c>
      <c r="D79" s="16" t="s">
        <v>357</v>
      </c>
      <c r="E79" s="15" t="s">
        <v>97</v>
      </c>
      <c r="F79" s="15" t="s">
        <v>98</v>
      </c>
      <c r="G79" s="16" t="s">
        <v>317</v>
      </c>
      <c r="H79" s="15" t="s">
        <v>43</v>
      </c>
      <c r="I79" s="15" t="s">
        <v>45</v>
      </c>
      <c r="J79" s="15" t="s">
        <v>45</v>
      </c>
      <c r="K79" s="15" t="n">
        <f aca="false">IFERROR(INDEX(Lookups!$D$3:$D$11,MATCH(H79&amp;"|"&amp;I79,Lookups!$C$3:$C$11,0)),"")</f>
        <v>3</v>
      </c>
      <c r="L79" s="15" t="str">
        <f aca="false">IFERROR(INDEX(Lookups!$H$3:$H$11,MATCH(K79&amp;"|"&amp;J79,Lookups!$G$3:$G$11,0)),"")</f>
        <v>High</v>
      </c>
      <c r="M79" s="16" t="str">
        <f aca="false">IFERROR(INDEX(Lookups!$L$3:$L$5,MATCH(L79,Lookups!$K$3:$K$5,0)),"")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79" s="16" t="str">
        <f aca="false">IFERROR(INDEX(Lookups!$M$3:$M$5,MATCH(L79,Lookups!$K$3:$K$5,0)),"")</f>
        <v>Individual OQ test case — positive and negative testing, executed and witnessed</v>
      </c>
      <c r="O79" s="16" t="s">
        <v>100</v>
      </c>
      <c r="P79" s="16" t="str">
        <f aca="false">IFERROR(INDEX(Lookups!$N$3:$N$5,MATCH(L79,Lookups!$K$3:$K$5,0)),"")</f>
        <v>Medium (to be confirmed after test execution)</v>
      </c>
      <c r="Q79" s="16"/>
    </row>
    <row r="80" customFormat="false" ht="60" hidden="false" customHeight="true" outlineLevel="0" collapsed="false">
      <c r="A80" s="15" t="s">
        <v>358</v>
      </c>
      <c r="B80" s="15" t="s">
        <v>359</v>
      </c>
      <c r="C80" s="16" t="s">
        <v>315</v>
      </c>
      <c r="D80" s="16" t="s">
        <v>360</v>
      </c>
      <c r="E80" s="15" t="s">
        <v>97</v>
      </c>
      <c r="F80" s="15" t="s">
        <v>98</v>
      </c>
      <c r="G80" s="16" t="s">
        <v>317</v>
      </c>
      <c r="H80" s="15" t="s">
        <v>45</v>
      </c>
      <c r="I80" s="15" t="s">
        <v>45</v>
      </c>
      <c r="J80" s="15" t="s">
        <v>45</v>
      </c>
      <c r="K80" s="15" t="n">
        <f aca="false">IFERROR(INDEX(Lookups!$D$3:$D$11,MATCH(H80&amp;"|"&amp;I80,Lookups!$C$3:$C$11,0)),"")</f>
        <v>2</v>
      </c>
      <c r="L80" s="15" t="str">
        <f aca="false">IFERROR(INDEX(Lookups!$H$3:$H$11,MATCH(K80&amp;"|"&amp;J80,Lookups!$G$3:$G$11,0)),"")</f>
        <v>Medium</v>
      </c>
      <c r="M80" s="16" t="str">
        <f aca="false">IFERROR(INDEX(Lookups!$L$3:$L$5,MATCH(L80,Lookups!$K$3:$K$5,0)),"")</f>
        <v>Specify in the Functional Specification and verify by individual OQ test case (positive testing). Procedural control where user judgement is involved.</v>
      </c>
      <c r="N80" s="16" t="str">
        <f aca="false">IFERROR(INDEX(Lookups!$M$3:$M$5,MATCH(L80,Lookups!$K$3:$K$5,0)),"")</f>
        <v>Individual OQ test case — positive testing</v>
      </c>
      <c r="O80" s="16" t="s">
        <v>100</v>
      </c>
      <c r="P80" s="16" t="str">
        <f aca="false">IFERROR(INDEX(Lookups!$N$3:$N$5,MATCH(L80,Lookups!$K$3:$K$5,0)),"")</f>
        <v>Low</v>
      </c>
      <c r="Q80" s="16"/>
    </row>
    <row r="81" customFormat="false" ht="60" hidden="false" customHeight="true" outlineLevel="0" collapsed="false">
      <c r="A81" s="15" t="s">
        <v>361</v>
      </c>
      <c r="B81" s="15" t="s">
        <v>362</v>
      </c>
      <c r="C81" s="16" t="s">
        <v>363</v>
      </c>
      <c r="D81" s="16" t="s">
        <v>364</v>
      </c>
      <c r="E81" s="15" t="s">
        <v>97</v>
      </c>
      <c r="F81" s="15" t="s">
        <v>98</v>
      </c>
      <c r="G81" s="16" t="s">
        <v>365</v>
      </c>
      <c r="H81" s="15" t="s">
        <v>45</v>
      </c>
      <c r="I81" s="15" t="s">
        <v>45</v>
      </c>
      <c r="J81" s="15" t="s">
        <v>45</v>
      </c>
      <c r="K81" s="15" t="n">
        <f aca="false">IFERROR(INDEX(Lookups!$D$3:$D$11,MATCH(H81&amp;"|"&amp;I81,Lookups!$C$3:$C$11,0)),"")</f>
        <v>2</v>
      </c>
      <c r="L81" s="15" t="str">
        <f aca="false">IFERROR(INDEX(Lookups!$H$3:$H$11,MATCH(K81&amp;"|"&amp;J81,Lookups!$G$3:$G$11,0)),"")</f>
        <v>Medium</v>
      </c>
      <c r="M81" s="16" t="str">
        <f aca="false">IFERROR(INDEX(Lookups!$L$3:$L$5,MATCH(L81,Lookups!$K$3:$K$5,0)),"")</f>
        <v>Specify in the Functional Specification and verify by individual OQ test case (positive testing). Procedural control where user judgement is involved.</v>
      </c>
      <c r="N81" s="16" t="str">
        <f aca="false">IFERROR(INDEX(Lookups!$M$3:$M$5,MATCH(L81,Lookups!$K$3:$K$5,0)),"")</f>
        <v>Individual OQ test case — positive testing</v>
      </c>
      <c r="O81" s="16" t="s">
        <v>100</v>
      </c>
      <c r="P81" s="16" t="str">
        <f aca="false">IFERROR(INDEX(Lookups!$N$3:$N$5,MATCH(L81,Lookups!$K$3:$K$5,0)),"")</f>
        <v>Low</v>
      </c>
      <c r="Q81" s="16"/>
    </row>
    <row r="82" customFormat="false" ht="60" hidden="false" customHeight="true" outlineLevel="0" collapsed="false">
      <c r="A82" s="15" t="s">
        <v>366</v>
      </c>
      <c r="B82" s="15" t="s">
        <v>367</v>
      </c>
      <c r="C82" s="16" t="s">
        <v>363</v>
      </c>
      <c r="D82" s="16" t="s">
        <v>368</v>
      </c>
      <c r="E82" s="15" t="s">
        <v>97</v>
      </c>
      <c r="F82" s="15" t="s">
        <v>98</v>
      </c>
      <c r="G82" s="16" t="s">
        <v>365</v>
      </c>
      <c r="H82" s="15" t="s">
        <v>45</v>
      </c>
      <c r="I82" s="15" t="s">
        <v>47</v>
      </c>
      <c r="J82" s="15" t="s">
        <v>45</v>
      </c>
      <c r="K82" s="15" t="n">
        <f aca="false">IFERROR(INDEX(Lookups!$D$3:$D$11,MATCH(H82&amp;"|"&amp;I82,Lookups!$C$3:$C$11,0)),"")</f>
        <v>1</v>
      </c>
      <c r="L82" s="15" t="str">
        <f aca="false">IFERROR(INDEX(Lookups!$H$3:$H$11,MATCH(K82&amp;"|"&amp;J82,Lookups!$G$3:$G$11,0)),"")</f>
        <v>Low</v>
      </c>
      <c r="M82" s="16" t="str">
        <f aca="false">IFERROR(INDEX(Lookups!$L$3:$L$5,MATCH(L82,Lookups!$K$3:$K$5,0)),"")</f>
        <v>Verify by grouped OQ execution or PQ/UAT scenario. No additional design control required beyond standard development and code review.</v>
      </c>
      <c r="N82" s="16" t="str">
        <f aca="false">IFERROR(INDEX(Lookups!$M$3:$M$5,MATCH(L82,Lookups!$K$3:$K$5,0)),"")</f>
        <v>Grouped OQ / PQ-UAT scenario verification</v>
      </c>
      <c r="O82" s="16" t="s">
        <v>100</v>
      </c>
      <c r="P82" s="16" t="str">
        <f aca="false">IFERROR(INDEX(Lookups!$N$3:$N$5,MATCH(L82,Lookups!$K$3:$K$5,0)),"")</f>
        <v>Low</v>
      </c>
      <c r="Q82" s="16"/>
    </row>
    <row r="83" customFormat="false" ht="60" hidden="false" customHeight="true" outlineLevel="0" collapsed="false">
      <c r="A83" s="15" t="s">
        <v>369</v>
      </c>
      <c r="B83" s="15" t="s">
        <v>370</v>
      </c>
      <c r="C83" s="16" t="s">
        <v>363</v>
      </c>
      <c r="D83" s="16" t="s">
        <v>371</v>
      </c>
      <c r="E83" s="15" t="s">
        <v>97</v>
      </c>
      <c r="F83" s="15" t="s">
        <v>98</v>
      </c>
      <c r="G83" s="16" t="s">
        <v>365</v>
      </c>
      <c r="H83" s="15" t="s">
        <v>45</v>
      </c>
      <c r="I83" s="15" t="s">
        <v>45</v>
      </c>
      <c r="J83" s="15" t="s">
        <v>45</v>
      </c>
      <c r="K83" s="15" t="n">
        <f aca="false">IFERROR(INDEX(Lookups!$D$3:$D$11,MATCH(H83&amp;"|"&amp;I83,Lookups!$C$3:$C$11,0)),"")</f>
        <v>2</v>
      </c>
      <c r="L83" s="15" t="str">
        <f aca="false">IFERROR(INDEX(Lookups!$H$3:$H$11,MATCH(K83&amp;"|"&amp;J83,Lookups!$G$3:$G$11,0)),"")</f>
        <v>Medium</v>
      </c>
      <c r="M83" s="16" t="str">
        <f aca="false">IFERROR(INDEX(Lookups!$L$3:$L$5,MATCH(L83,Lookups!$K$3:$K$5,0)),"")</f>
        <v>Specify in the Functional Specification and verify by individual OQ test case (positive testing). Procedural control where user judgement is involved.</v>
      </c>
      <c r="N83" s="16" t="str">
        <f aca="false">IFERROR(INDEX(Lookups!$M$3:$M$5,MATCH(L83,Lookups!$K$3:$K$5,0)),"")</f>
        <v>Individual OQ test case — positive testing</v>
      </c>
      <c r="O83" s="16" t="s">
        <v>100</v>
      </c>
      <c r="P83" s="16" t="str">
        <f aca="false">IFERROR(INDEX(Lookups!$N$3:$N$5,MATCH(L83,Lookups!$K$3:$K$5,0)),"")</f>
        <v>Low</v>
      </c>
      <c r="Q83" s="16"/>
    </row>
    <row r="84" customFormat="false" ht="60" hidden="false" customHeight="true" outlineLevel="0" collapsed="false">
      <c r="A84" s="15" t="s">
        <v>372</v>
      </c>
      <c r="B84" s="15" t="s">
        <v>373</v>
      </c>
      <c r="C84" s="16" t="s">
        <v>363</v>
      </c>
      <c r="D84" s="16" t="s">
        <v>374</v>
      </c>
      <c r="E84" s="15" t="s">
        <v>97</v>
      </c>
      <c r="F84" s="15" t="s">
        <v>98</v>
      </c>
      <c r="G84" s="16" t="s">
        <v>375</v>
      </c>
      <c r="H84" s="15" t="s">
        <v>43</v>
      </c>
      <c r="I84" s="15" t="s">
        <v>45</v>
      </c>
      <c r="J84" s="15" t="s">
        <v>47</v>
      </c>
      <c r="K84" s="15" t="n">
        <f aca="false">IFERROR(INDEX(Lookups!$D$3:$D$11,MATCH(H84&amp;"|"&amp;I84,Lookups!$C$3:$C$11,0)),"")</f>
        <v>3</v>
      </c>
      <c r="L84" s="15" t="str">
        <f aca="false">IFERROR(INDEX(Lookups!$H$3:$H$11,MATCH(K84&amp;"|"&amp;J84,Lookups!$G$3:$G$11,0)),"")</f>
        <v>High</v>
      </c>
      <c r="M84" s="16" t="str">
        <f aca="false">IFERROR(INDEX(Lookups!$L$3:$L$5,MATCH(L84,Lookups!$K$3:$K$5,0)),"")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84" s="16" t="str">
        <f aca="false">IFERROR(INDEX(Lookups!$M$3:$M$5,MATCH(L84,Lookups!$K$3:$K$5,0)),"")</f>
        <v>Individual OQ test case — positive and negative testing, executed and witnessed</v>
      </c>
      <c r="O84" s="16" t="s">
        <v>100</v>
      </c>
      <c r="P84" s="16" t="str">
        <f aca="false">IFERROR(INDEX(Lookups!$N$3:$N$5,MATCH(L84,Lookups!$K$3:$K$5,0)),"")</f>
        <v>Medium (to be confirmed after test execution)</v>
      </c>
      <c r="Q84" s="16"/>
    </row>
    <row r="85" customFormat="false" ht="60" hidden="false" customHeight="true" outlineLevel="0" collapsed="false">
      <c r="A85" s="15" t="s">
        <v>376</v>
      </c>
      <c r="B85" s="15" t="s">
        <v>377</v>
      </c>
      <c r="C85" s="16" t="s">
        <v>363</v>
      </c>
      <c r="D85" s="16" t="s">
        <v>378</v>
      </c>
      <c r="E85" s="15" t="s">
        <v>97</v>
      </c>
      <c r="F85" s="15" t="s">
        <v>98</v>
      </c>
      <c r="G85" s="16" t="s">
        <v>365</v>
      </c>
      <c r="H85" s="15" t="s">
        <v>43</v>
      </c>
      <c r="I85" s="15" t="s">
        <v>45</v>
      </c>
      <c r="J85" s="15" t="s">
        <v>45</v>
      </c>
      <c r="K85" s="15" t="n">
        <f aca="false">IFERROR(INDEX(Lookups!$D$3:$D$11,MATCH(H85&amp;"|"&amp;I85,Lookups!$C$3:$C$11,0)),"")</f>
        <v>3</v>
      </c>
      <c r="L85" s="15" t="str">
        <f aca="false">IFERROR(INDEX(Lookups!$H$3:$H$11,MATCH(K85&amp;"|"&amp;J85,Lookups!$G$3:$G$11,0)),"")</f>
        <v>High</v>
      </c>
      <c r="M85" s="16" t="str">
        <f aca="false">IFERROR(INDEX(Lookups!$L$3:$L$5,MATCH(L85,Lookups!$K$3:$K$5,0)),"")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85" s="16" t="str">
        <f aca="false">IFERROR(INDEX(Lookups!$M$3:$M$5,MATCH(L85,Lookups!$K$3:$K$5,0)),"")</f>
        <v>Individual OQ test case — positive and negative testing, executed and witnessed</v>
      </c>
      <c r="O85" s="16" t="s">
        <v>100</v>
      </c>
      <c r="P85" s="16" t="str">
        <f aca="false">IFERROR(INDEX(Lookups!$N$3:$N$5,MATCH(L85,Lookups!$K$3:$K$5,0)),"")</f>
        <v>Medium (to be confirmed after test execution)</v>
      </c>
      <c r="Q85" s="16"/>
    </row>
    <row r="86" customFormat="false" ht="60" hidden="false" customHeight="true" outlineLevel="0" collapsed="false">
      <c r="A86" s="15" t="s">
        <v>379</v>
      </c>
      <c r="B86" s="15" t="s">
        <v>380</v>
      </c>
      <c r="C86" s="16" t="s">
        <v>363</v>
      </c>
      <c r="D86" s="16" t="s">
        <v>381</v>
      </c>
      <c r="E86" s="15" t="s">
        <v>97</v>
      </c>
      <c r="F86" s="15" t="s">
        <v>98</v>
      </c>
      <c r="G86" s="16" t="s">
        <v>365</v>
      </c>
      <c r="H86" s="15" t="s">
        <v>45</v>
      </c>
      <c r="I86" s="15" t="s">
        <v>45</v>
      </c>
      <c r="J86" s="15" t="s">
        <v>45</v>
      </c>
      <c r="K86" s="15" t="n">
        <f aca="false">IFERROR(INDEX(Lookups!$D$3:$D$11,MATCH(H86&amp;"|"&amp;I86,Lookups!$C$3:$C$11,0)),"")</f>
        <v>2</v>
      </c>
      <c r="L86" s="15" t="str">
        <f aca="false">IFERROR(INDEX(Lookups!$H$3:$H$11,MATCH(K86&amp;"|"&amp;J86,Lookups!$G$3:$G$11,0)),"")</f>
        <v>Medium</v>
      </c>
      <c r="M86" s="16" t="str">
        <f aca="false">IFERROR(INDEX(Lookups!$L$3:$L$5,MATCH(L86,Lookups!$K$3:$K$5,0)),"")</f>
        <v>Specify in the Functional Specification and verify by individual OQ test case (positive testing). Procedural control where user judgement is involved.</v>
      </c>
      <c r="N86" s="16" t="str">
        <f aca="false">IFERROR(INDEX(Lookups!$M$3:$M$5,MATCH(L86,Lookups!$K$3:$K$5,0)),"")</f>
        <v>Individual OQ test case — positive testing</v>
      </c>
      <c r="O86" s="16" t="s">
        <v>100</v>
      </c>
      <c r="P86" s="16" t="str">
        <f aca="false">IFERROR(INDEX(Lookups!$N$3:$N$5,MATCH(L86,Lookups!$K$3:$K$5,0)),"")</f>
        <v>Low</v>
      </c>
      <c r="Q86" s="16"/>
    </row>
    <row r="87" customFormat="false" ht="60" hidden="false" customHeight="true" outlineLevel="0" collapsed="false">
      <c r="A87" s="15" t="s">
        <v>382</v>
      </c>
      <c r="B87" s="15" t="s">
        <v>383</v>
      </c>
      <c r="C87" s="16" t="s">
        <v>363</v>
      </c>
      <c r="D87" s="16" t="s">
        <v>384</v>
      </c>
      <c r="E87" s="15" t="s">
        <v>97</v>
      </c>
      <c r="F87" s="15" t="s">
        <v>98</v>
      </c>
      <c r="G87" s="16" t="s">
        <v>385</v>
      </c>
      <c r="H87" s="15" t="s">
        <v>43</v>
      </c>
      <c r="I87" s="15" t="s">
        <v>45</v>
      </c>
      <c r="J87" s="15" t="s">
        <v>45</v>
      </c>
      <c r="K87" s="15" t="n">
        <f aca="false">IFERROR(INDEX(Lookups!$D$3:$D$11,MATCH(H87&amp;"|"&amp;I87,Lookups!$C$3:$C$11,0)),"")</f>
        <v>3</v>
      </c>
      <c r="L87" s="15" t="str">
        <f aca="false">IFERROR(INDEX(Lookups!$H$3:$H$11,MATCH(K87&amp;"|"&amp;J87,Lookups!$G$3:$G$11,0)),"")</f>
        <v>High</v>
      </c>
      <c r="M87" s="16" t="str">
        <f aca="false">IFERROR(INDEX(Lookups!$L$3:$L$5,MATCH(L87,Lookups!$K$3:$K$5,0)),"")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87" s="16" t="str">
        <f aca="false">IFERROR(INDEX(Lookups!$M$3:$M$5,MATCH(L87,Lookups!$K$3:$K$5,0)),"")</f>
        <v>Individual OQ test case — positive and negative testing, executed and witnessed</v>
      </c>
      <c r="O87" s="16" t="s">
        <v>100</v>
      </c>
      <c r="P87" s="16" t="str">
        <f aca="false">IFERROR(INDEX(Lookups!$N$3:$N$5,MATCH(L87,Lookups!$K$3:$K$5,0)),"")</f>
        <v>Medium (to be confirmed after test execution)</v>
      </c>
      <c r="Q87" s="16"/>
    </row>
    <row r="88" customFormat="false" ht="60" hidden="false" customHeight="true" outlineLevel="0" collapsed="false">
      <c r="A88" s="15" t="s">
        <v>386</v>
      </c>
      <c r="B88" s="15" t="s">
        <v>387</v>
      </c>
      <c r="C88" s="16" t="s">
        <v>363</v>
      </c>
      <c r="D88" s="16" t="s">
        <v>388</v>
      </c>
      <c r="E88" s="15" t="s">
        <v>97</v>
      </c>
      <c r="F88" s="15" t="s">
        <v>98</v>
      </c>
      <c r="G88" s="16" t="s">
        <v>365</v>
      </c>
      <c r="H88" s="15" t="s">
        <v>45</v>
      </c>
      <c r="I88" s="15" t="s">
        <v>45</v>
      </c>
      <c r="J88" s="15" t="s">
        <v>45</v>
      </c>
      <c r="K88" s="15" t="n">
        <f aca="false">IFERROR(INDEX(Lookups!$D$3:$D$11,MATCH(H88&amp;"|"&amp;I88,Lookups!$C$3:$C$11,0)),"")</f>
        <v>2</v>
      </c>
      <c r="L88" s="15" t="str">
        <f aca="false">IFERROR(INDEX(Lookups!$H$3:$H$11,MATCH(K88&amp;"|"&amp;J88,Lookups!$G$3:$G$11,0)),"")</f>
        <v>Medium</v>
      </c>
      <c r="M88" s="16" t="str">
        <f aca="false">IFERROR(INDEX(Lookups!$L$3:$L$5,MATCH(L88,Lookups!$K$3:$K$5,0)),"")</f>
        <v>Specify in the Functional Specification and verify by individual OQ test case (positive testing). Procedural control where user judgement is involved.</v>
      </c>
      <c r="N88" s="16" t="str">
        <f aca="false">IFERROR(INDEX(Lookups!$M$3:$M$5,MATCH(L88,Lookups!$K$3:$K$5,0)),"")</f>
        <v>Individual OQ test case — positive testing</v>
      </c>
      <c r="O88" s="16" t="s">
        <v>100</v>
      </c>
      <c r="P88" s="16" t="str">
        <f aca="false">IFERROR(INDEX(Lookups!$N$3:$N$5,MATCH(L88,Lookups!$K$3:$K$5,0)),"")</f>
        <v>Low</v>
      </c>
      <c r="Q88" s="16"/>
    </row>
    <row r="89" customFormat="false" ht="60" hidden="false" customHeight="true" outlineLevel="0" collapsed="false">
      <c r="A89" s="15" t="s">
        <v>389</v>
      </c>
      <c r="B89" s="15" t="s">
        <v>390</v>
      </c>
      <c r="C89" s="16" t="s">
        <v>363</v>
      </c>
      <c r="D89" s="16" t="s">
        <v>391</v>
      </c>
      <c r="E89" s="15" t="s">
        <v>97</v>
      </c>
      <c r="F89" s="15" t="s">
        <v>98</v>
      </c>
      <c r="G89" s="16" t="s">
        <v>365</v>
      </c>
      <c r="H89" s="15" t="s">
        <v>45</v>
      </c>
      <c r="I89" s="15" t="s">
        <v>45</v>
      </c>
      <c r="J89" s="15" t="s">
        <v>45</v>
      </c>
      <c r="K89" s="15" t="n">
        <f aca="false">IFERROR(INDEX(Lookups!$D$3:$D$11,MATCH(H89&amp;"|"&amp;I89,Lookups!$C$3:$C$11,0)),"")</f>
        <v>2</v>
      </c>
      <c r="L89" s="15" t="str">
        <f aca="false">IFERROR(INDEX(Lookups!$H$3:$H$11,MATCH(K89&amp;"|"&amp;J89,Lookups!$G$3:$G$11,0)),"")</f>
        <v>Medium</v>
      </c>
      <c r="M89" s="16" t="str">
        <f aca="false">IFERROR(INDEX(Lookups!$L$3:$L$5,MATCH(L89,Lookups!$K$3:$K$5,0)),"")</f>
        <v>Specify in the Functional Specification and verify by individual OQ test case (positive testing). Procedural control where user judgement is involved.</v>
      </c>
      <c r="N89" s="16" t="str">
        <f aca="false">IFERROR(INDEX(Lookups!$M$3:$M$5,MATCH(L89,Lookups!$K$3:$K$5,0)),"")</f>
        <v>Individual OQ test case — positive testing</v>
      </c>
      <c r="O89" s="16" t="s">
        <v>100</v>
      </c>
      <c r="P89" s="16" t="str">
        <f aca="false">IFERROR(INDEX(Lookups!$N$3:$N$5,MATCH(L89,Lookups!$K$3:$K$5,0)),"")</f>
        <v>Low</v>
      </c>
      <c r="Q89" s="16"/>
    </row>
    <row r="90" customFormat="false" ht="60" hidden="false" customHeight="true" outlineLevel="0" collapsed="false">
      <c r="A90" s="15" t="s">
        <v>392</v>
      </c>
      <c r="B90" s="15" t="s">
        <v>393</v>
      </c>
      <c r="C90" s="16" t="s">
        <v>363</v>
      </c>
      <c r="D90" s="16" t="s">
        <v>394</v>
      </c>
      <c r="E90" s="15" t="s">
        <v>97</v>
      </c>
      <c r="F90" s="15" t="s">
        <v>98</v>
      </c>
      <c r="G90" s="16" t="s">
        <v>365</v>
      </c>
      <c r="H90" s="15" t="s">
        <v>45</v>
      </c>
      <c r="I90" s="15" t="s">
        <v>45</v>
      </c>
      <c r="J90" s="15" t="s">
        <v>45</v>
      </c>
      <c r="K90" s="15" t="n">
        <f aca="false">IFERROR(INDEX(Lookups!$D$3:$D$11,MATCH(H90&amp;"|"&amp;I90,Lookups!$C$3:$C$11,0)),"")</f>
        <v>2</v>
      </c>
      <c r="L90" s="15" t="str">
        <f aca="false">IFERROR(INDEX(Lookups!$H$3:$H$11,MATCH(K90&amp;"|"&amp;J90,Lookups!$G$3:$G$11,0)),"")</f>
        <v>Medium</v>
      </c>
      <c r="M90" s="16" t="str">
        <f aca="false">IFERROR(INDEX(Lookups!$L$3:$L$5,MATCH(L90,Lookups!$K$3:$K$5,0)),"")</f>
        <v>Specify in the Functional Specification and verify by individual OQ test case (positive testing). Procedural control where user judgement is involved.</v>
      </c>
      <c r="N90" s="16" t="str">
        <f aca="false">IFERROR(INDEX(Lookups!$M$3:$M$5,MATCH(L90,Lookups!$K$3:$K$5,0)),"")</f>
        <v>Individual OQ test case — positive testing</v>
      </c>
      <c r="O90" s="16" t="s">
        <v>100</v>
      </c>
      <c r="P90" s="16" t="str">
        <f aca="false">IFERROR(INDEX(Lookups!$N$3:$N$5,MATCH(L90,Lookups!$K$3:$K$5,0)),"")</f>
        <v>Low</v>
      </c>
      <c r="Q90" s="16"/>
    </row>
    <row r="91" customFormat="false" ht="60" hidden="false" customHeight="true" outlineLevel="0" collapsed="false">
      <c r="A91" s="15" t="s">
        <v>395</v>
      </c>
      <c r="B91" s="15" t="s">
        <v>396</v>
      </c>
      <c r="C91" s="16" t="s">
        <v>363</v>
      </c>
      <c r="D91" s="16" t="s">
        <v>397</v>
      </c>
      <c r="E91" s="15" t="s">
        <v>97</v>
      </c>
      <c r="F91" s="15" t="s">
        <v>98</v>
      </c>
      <c r="G91" s="16" t="s">
        <v>398</v>
      </c>
      <c r="H91" s="15" t="s">
        <v>43</v>
      </c>
      <c r="I91" s="15" t="s">
        <v>45</v>
      </c>
      <c r="J91" s="15" t="s">
        <v>47</v>
      </c>
      <c r="K91" s="15" t="n">
        <f aca="false">IFERROR(INDEX(Lookups!$D$3:$D$11,MATCH(H91&amp;"|"&amp;I91,Lookups!$C$3:$C$11,0)),"")</f>
        <v>3</v>
      </c>
      <c r="L91" s="15" t="str">
        <f aca="false">IFERROR(INDEX(Lookups!$H$3:$H$11,MATCH(K91&amp;"|"&amp;J91,Lookups!$G$3:$G$11,0)),"")</f>
        <v>High</v>
      </c>
      <c r="M91" s="16" t="str">
        <f aca="false">IFERROR(INDEX(Lookups!$L$3:$L$5,MATCH(L91,Lookups!$K$3:$K$5,0)),"")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91" s="16" t="str">
        <f aca="false">IFERROR(INDEX(Lookups!$M$3:$M$5,MATCH(L91,Lookups!$K$3:$K$5,0)),"")</f>
        <v>Individual OQ test case — positive and negative testing, executed and witnessed</v>
      </c>
      <c r="O91" s="16" t="s">
        <v>100</v>
      </c>
      <c r="P91" s="16" t="str">
        <f aca="false">IFERROR(INDEX(Lookups!$N$3:$N$5,MATCH(L91,Lookups!$K$3:$K$5,0)),"")</f>
        <v>Medium (to be confirmed after test execution)</v>
      </c>
      <c r="Q91" s="16"/>
    </row>
    <row r="92" customFormat="false" ht="60" hidden="false" customHeight="true" outlineLevel="0" collapsed="false">
      <c r="A92" s="15" t="s">
        <v>399</v>
      </c>
      <c r="B92" s="15" t="s">
        <v>400</v>
      </c>
      <c r="C92" s="16" t="s">
        <v>363</v>
      </c>
      <c r="D92" s="16" t="s">
        <v>401</v>
      </c>
      <c r="E92" s="15" t="s">
        <v>97</v>
      </c>
      <c r="F92" s="15" t="s">
        <v>98</v>
      </c>
      <c r="G92" s="16" t="s">
        <v>365</v>
      </c>
      <c r="H92" s="15" t="s">
        <v>45</v>
      </c>
      <c r="I92" s="15" t="s">
        <v>43</v>
      </c>
      <c r="J92" s="15" t="s">
        <v>47</v>
      </c>
      <c r="K92" s="15" t="n">
        <f aca="false">IFERROR(INDEX(Lookups!$D$3:$D$11,MATCH(H92&amp;"|"&amp;I92,Lookups!$C$3:$C$11,0)),"")</f>
        <v>3</v>
      </c>
      <c r="L92" s="15" t="str">
        <f aca="false">IFERROR(INDEX(Lookups!$H$3:$H$11,MATCH(K92&amp;"|"&amp;J92,Lookups!$G$3:$G$11,0)),"")</f>
        <v>High</v>
      </c>
      <c r="M92" s="16" t="str">
        <f aca="false">IFERROR(INDEX(Lookups!$L$3:$L$5,MATCH(L92,Lookups!$K$3:$K$5,0)),"")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92" s="16" t="str">
        <f aca="false">IFERROR(INDEX(Lookups!$M$3:$M$5,MATCH(L92,Lookups!$K$3:$K$5,0)),"")</f>
        <v>Individual OQ test case — positive and negative testing, executed and witnessed</v>
      </c>
      <c r="O92" s="16" t="s">
        <v>100</v>
      </c>
      <c r="P92" s="16" t="str">
        <f aca="false">IFERROR(INDEX(Lookups!$N$3:$N$5,MATCH(L92,Lookups!$K$3:$K$5,0)),"")</f>
        <v>Medium (to be confirmed after test execution)</v>
      </c>
      <c r="Q92" s="16"/>
    </row>
    <row r="93" customFormat="false" ht="60" hidden="false" customHeight="true" outlineLevel="0" collapsed="false">
      <c r="A93" s="15" t="s">
        <v>402</v>
      </c>
      <c r="B93" s="15" t="s">
        <v>403</v>
      </c>
      <c r="C93" s="16" t="s">
        <v>404</v>
      </c>
      <c r="D93" s="16" t="s">
        <v>405</v>
      </c>
      <c r="E93" s="15" t="s">
        <v>97</v>
      </c>
      <c r="F93" s="15" t="s">
        <v>98</v>
      </c>
      <c r="G93" s="16" t="s">
        <v>406</v>
      </c>
      <c r="H93" s="15" t="s">
        <v>45</v>
      </c>
      <c r="I93" s="15" t="s">
        <v>45</v>
      </c>
      <c r="J93" s="15" t="s">
        <v>45</v>
      </c>
      <c r="K93" s="15" t="n">
        <f aca="false">IFERROR(INDEX(Lookups!$D$3:$D$11,MATCH(H93&amp;"|"&amp;I93,Lookups!$C$3:$C$11,0)),"")</f>
        <v>2</v>
      </c>
      <c r="L93" s="15" t="str">
        <f aca="false">IFERROR(INDEX(Lookups!$H$3:$H$11,MATCH(K93&amp;"|"&amp;J93,Lookups!$G$3:$G$11,0)),"")</f>
        <v>Medium</v>
      </c>
      <c r="M93" s="16" t="str">
        <f aca="false">IFERROR(INDEX(Lookups!$L$3:$L$5,MATCH(L93,Lookups!$K$3:$K$5,0)),"")</f>
        <v>Specify in the Functional Specification and verify by individual OQ test case (positive testing). Procedural control where user judgement is involved.</v>
      </c>
      <c r="N93" s="16" t="str">
        <f aca="false">IFERROR(INDEX(Lookups!$M$3:$M$5,MATCH(L93,Lookups!$K$3:$K$5,0)),"")</f>
        <v>Individual OQ test case — positive testing</v>
      </c>
      <c r="O93" s="16" t="s">
        <v>100</v>
      </c>
      <c r="P93" s="16" t="str">
        <f aca="false">IFERROR(INDEX(Lookups!$N$3:$N$5,MATCH(L93,Lookups!$K$3:$K$5,0)),"")</f>
        <v>Low</v>
      </c>
      <c r="Q93" s="16"/>
    </row>
    <row r="94" customFormat="false" ht="60" hidden="false" customHeight="true" outlineLevel="0" collapsed="false">
      <c r="A94" s="15" t="s">
        <v>407</v>
      </c>
      <c r="B94" s="15" t="s">
        <v>408</v>
      </c>
      <c r="C94" s="16" t="s">
        <v>404</v>
      </c>
      <c r="D94" s="16" t="s">
        <v>409</v>
      </c>
      <c r="E94" s="15" t="s">
        <v>97</v>
      </c>
      <c r="F94" s="15" t="s">
        <v>98</v>
      </c>
      <c r="G94" s="16" t="s">
        <v>406</v>
      </c>
      <c r="H94" s="15" t="s">
        <v>45</v>
      </c>
      <c r="I94" s="15" t="s">
        <v>45</v>
      </c>
      <c r="J94" s="15" t="s">
        <v>45</v>
      </c>
      <c r="K94" s="15" t="n">
        <f aca="false">IFERROR(INDEX(Lookups!$D$3:$D$11,MATCH(H94&amp;"|"&amp;I94,Lookups!$C$3:$C$11,0)),"")</f>
        <v>2</v>
      </c>
      <c r="L94" s="15" t="str">
        <f aca="false">IFERROR(INDEX(Lookups!$H$3:$H$11,MATCH(K94&amp;"|"&amp;J94,Lookups!$G$3:$G$11,0)),"")</f>
        <v>Medium</v>
      </c>
      <c r="M94" s="16" t="str">
        <f aca="false">IFERROR(INDEX(Lookups!$L$3:$L$5,MATCH(L94,Lookups!$K$3:$K$5,0)),"")</f>
        <v>Specify in the Functional Specification and verify by individual OQ test case (positive testing). Procedural control where user judgement is involved.</v>
      </c>
      <c r="N94" s="16" t="str">
        <f aca="false">IFERROR(INDEX(Lookups!$M$3:$M$5,MATCH(L94,Lookups!$K$3:$K$5,0)),"")</f>
        <v>Individual OQ test case — positive testing</v>
      </c>
      <c r="O94" s="16" t="s">
        <v>100</v>
      </c>
      <c r="P94" s="16" t="str">
        <f aca="false">IFERROR(INDEX(Lookups!$N$3:$N$5,MATCH(L94,Lookups!$K$3:$K$5,0)),"")</f>
        <v>Low</v>
      </c>
      <c r="Q94" s="16"/>
    </row>
    <row r="95" customFormat="false" ht="60" hidden="false" customHeight="true" outlineLevel="0" collapsed="false">
      <c r="A95" s="15" t="s">
        <v>410</v>
      </c>
      <c r="B95" s="15" t="s">
        <v>411</v>
      </c>
      <c r="C95" s="16" t="s">
        <v>404</v>
      </c>
      <c r="D95" s="16" t="s">
        <v>412</v>
      </c>
      <c r="E95" s="15" t="s">
        <v>97</v>
      </c>
      <c r="F95" s="15" t="s">
        <v>98</v>
      </c>
      <c r="G95" s="16" t="s">
        <v>406</v>
      </c>
      <c r="H95" s="15" t="s">
        <v>45</v>
      </c>
      <c r="I95" s="15" t="s">
        <v>45</v>
      </c>
      <c r="J95" s="15" t="s">
        <v>45</v>
      </c>
      <c r="K95" s="15" t="n">
        <f aca="false">IFERROR(INDEX(Lookups!$D$3:$D$11,MATCH(H95&amp;"|"&amp;I95,Lookups!$C$3:$C$11,0)),"")</f>
        <v>2</v>
      </c>
      <c r="L95" s="15" t="str">
        <f aca="false">IFERROR(INDEX(Lookups!$H$3:$H$11,MATCH(K95&amp;"|"&amp;J95,Lookups!$G$3:$G$11,0)),"")</f>
        <v>Medium</v>
      </c>
      <c r="M95" s="16" t="str">
        <f aca="false">IFERROR(INDEX(Lookups!$L$3:$L$5,MATCH(L95,Lookups!$K$3:$K$5,0)),"")</f>
        <v>Specify in the Functional Specification and verify by individual OQ test case (positive testing). Procedural control where user judgement is involved.</v>
      </c>
      <c r="N95" s="16" t="str">
        <f aca="false">IFERROR(INDEX(Lookups!$M$3:$M$5,MATCH(L95,Lookups!$K$3:$K$5,0)),"")</f>
        <v>Individual OQ test case — positive testing</v>
      </c>
      <c r="O95" s="16" t="s">
        <v>100</v>
      </c>
      <c r="P95" s="16" t="str">
        <f aca="false">IFERROR(INDEX(Lookups!$N$3:$N$5,MATCH(L95,Lookups!$K$3:$K$5,0)),"")</f>
        <v>Low</v>
      </c>
      <c r="Q95" s="16"/>
    </row>
    <row r="96" customFormat="false" ht="60" hidden="false" customHeight="true" outlineLevel="0" collapsed="false">
      <c r="A96" s="15" t="s">
        <v>413</v>
      </c>
      <c r="B96" s="15" t="s">
        <v>414</v>
      </c>
      <c r="C96" s="16" t="s">
        <v>404</v>
      </c>
      <c r="D96" s="16" t="s">
        <v>415</v>
      </c>
      <c r="E96" s="15" t="s">
        <v>97</v>
      </c>
      <c r="F96" s="15" t="s">
        <v>98</v>
      </c>
      <c r="G96" s="16" t="s">
        <v>406</v>
      </c>
      <c r="H96" s="15" t="s">
        <v>45</v>
      </c>
      <c r="I96" s="15" t="s">
        <v>45</v>
      </c>
      <c r="J96" s="15" t="s">
        <v>45</v>
      </c>
      <c r="K96" s="15" t="n">
        <f aca="false">IFERROR(INDEX(Lookups!$D$3:$D$11,MATCH(H96&amp;"|"&amp;I96,Lookups!$C$3:$C$11,0)),"")</f>
        <v>2</v>
      </c>
      <c r="L96" s="15" t="str">
        <f aca="false">IFERROR(INDEX(Lookups!$H$3:$H$11,MATCH(K96&amp;"|"&amp;J96,Lookups!$G$3:$G$11,0)),"")</f>
        <v>Medium</v>
      </c>
      <c r="M96" s="16" t="str">
        <f aca="false">IFERROR(INDEX(Lookups!$L$3:$L$5,MATCH(L96,Lookups!$K$3:$K$5,0)),"")</f>
        <v>Specify in the Functional Specification and verify by individual OQ test case (positive testing). Procedural control where user judgement is involved.</v>
      </c>
      <c r="N96" s="16" t="str">
        <f aca="false">IFERROR(INDEX(Lookups!$M$3:$M$5,MATCH(L96,Lookups!$K$3:$K$5,0)),"")</f>
        <v>Individual OQ test case — positive testing</v>
      </c>
      <c r="O96" s="16" t="s">
        <v>100</v>
      </c>
      <c r="P96" s="16" t="str">
        <f aca="false">IFERROR(INDEX(Lookups!$N$3:$N$5,MATCH(L96,Lookups!$K$3:$K$5,0)),"")</f>
        <v>Low</v>
      </c>
      <c r="Q96" s="16"/>
    </row>
    <row r="97" customFormat="false" ht="60" hidden="false" customHeight="true" outlineLevel="0" collapsed="false">
      <c r="A97" s="15" t="s">
        <v>416</v>
      </c>
      <c r="B97" s="15" t="s">
        <v>417</v>
      </c>
      <c r="C97" s="16" t="s">
        <v>404</v>
      </c>
      <c r="D97" s="16" t="s">
        <v>418</v>
      </c>
      <c r="E97" s="15" t="s">
        <v>97</v>
      </c>
      <c r="F97" s="15" t="s">
        <v>98</v>
      </c>
      <c r="G97" s="16" t="s">
        <v>419</v>
      </c>
      <c r="H97" s="15" t="s">
        <v>43</v>
      </c>
      <c r="I97" s="15" t="s">
        <v>45</v>
      </c>
      <c r="J97" s="15" t="s">
        <v>47</v>
      </c>
      <c r="K97" s="15" t="n">
        <f aca="false">IFERROR(INDEX(Lookups!$D$3:$D$11,MATCH(H97&amp;"|"&amp;I97,Lookups!$C$3:$C$11,0)),"")</f>
        <v>3</v>
      </c>
      <c r="L97" s="15" t="str">
        <f aca="false">IFERROR(INDEX(Lookups!$H$3:$H$11,MATCH(K97&amp;"|"&amp;J97,Lookups!$G$3:$G$11,0)),"")</f>
        <v>High</v>
      </c>
      <c r="M97" s="16" t="str">
        <f aca="false">IFERROR(INDEX(Lookups!$L$3:$L$5,MATCH(L97,Lookups!$K$3:$K$5,0)),"")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97" s="16" t="str">
        <f aca="false">IFERROR(INDEX(Lookups!$M$3:$M$5,MATCH(L97,Lookups!$K$3:$K$5,0)),"")</f>
        <v>Individual OQ test case — positive and negative testing, executed and witnessed</v>
      </c>
      <c r="O97" s="16" t="s">
        <v>100</v>
      </c>
      <c r="P97" s="16" t="str">
        <f aca="false">IFERROR(INDEX(Lookups!$N$3:$N$5,MATCH(L97,Lookups!$K$3:$K$5,0)),"")</f>
        <v>Medium (to be confirmed after test execution)</v>
      </c>
      <c r="Q97" s="16"/>
    </row>
    <row r="98" customFormat="false" ht="60" hidden="false" customHeight="true" outlineLevel="0" collapsed="false">
      <c r="A98" s="15" t="s">
        <v>420</v>
      </c>
      <c r="B98" s="15" t="s">
        <v>421</v>
      </c>
      <c r="C98" s="16" t="s">
        <v>404</v>
      </c>
      <c r="D98" s="16" t="s">
        <v>422</v>
      </c>
      <c r="E98" s="15" t="s">
        <v>97</v>
      </c>
      <c r="F98" s="15" t="s">
        <v>98</v>
      </c>
      <c r="G98" s="16" t="s">
        <v>406</v>
      </c>
      <c r="H98" s="15" t="s">
        <v>45</v>
      </c>
      <c r="I98" s="15" t="s">
        <v>43</v>
      </c>
      <c r="J98" s="15" t="s">
        <v>45</v>
      </c>
      <c r="K98" s="15" t="n">
        <f aca="false">IFERROR(INDEX(Lookups!$D$3:$D$11,MATCH(H98&amp;"|"&amp;I98,Lookups!$C$3:$C$11,0)),"")</f>
        <v>3</v>
      </c>
      <c r="L98" s="15" t="str">
        <f aca="false">IFERROR(INDEX(Lookups!$H$3:$H$11,MATCH(K98&amp;"|"&amp;J98,Lookups!$G$3:$G$11,0)),"")</f>
        <v>High</v>
      </c>
      <c r="M98" s="16" t="str">
        <f aca="false">IFERROR(INDEX(Lookups!$L$3:$L$5,MATCH(L98,Lookups!$K$3:$K$5,0)),"")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98" s="16" t="str">
        <f aca="false">IFERROR(INDEX(Lookups!$M$3:$M$5,MATCH(L98,Lookups!$K$3:$K$5,0)),"")</f>
        <v>Individual OQ test case — positive and negative testing, executed and witnessed</v>
      </c>
      <c r="O98" s="16" t="s">
        <v>100</v>
      </c>
      <c r="P98" s="16" t="str">
        <f aca="false">IFERROR(INDEX(Lookups!$N$3:$N$5,MATCH(L98,Lookups!$K$3:$K$5,0)),"")</f>
        <v>Medium (to be confirmed after test execution)</v>
      </c>
      <c r="Q98" s="16"/>
    </row>
    <row r="99" customFormat="false" ht="60" hidden="false" customHeight="true" outlineLevel="0" collapsed="false">
      <c r="A99" s="15" t="s">
        <v>423</v>
      </c>
      <c r="B99" s="15" t="s">
        <v>424</v>
      </c>
      <c r="C99" s="16" t="s">
        <v>404</v>
      </c>
      <c r="D99" s="16" t="s">
        <v>425</v>
      </c>
      <c r="E99" s="15" t="s">
        <v>171</v>
      </c>
      <c r="F99" s="15" t="s">
        <v>98</v>
      </c>
      <c r="G99" s="16" t="s">
        <v>406</v>
      </c>
      <c r="H99" s="15" t="s">
        <v>45</v>
      </c>
      <c r="I99" s="15" t="s">
        <v>45</v>
      </c>
      <c r="J99" s="15" t="s">
        <v>45</v>
      </c>
      <c r="K99" s="15" t="n">
        <f aca="false">IFERROR(INDEX(Lookups!$D$3:$D$11,MATCH(H99&amp;"|"&amp;I99,Lookups!$C$3:$C$11,0)),"")</f>
        <v>2</v>
      </c>
      <c r="L99" s="15" t="str">
        <f aca="false">IFERROR(INDEX(Lookups!$H$3:$H$11,MATCH(K99&amp;"|"&amp;J99,Lookups!$G$3:$G$11,0)),"")</f>
        <v>Medium</v>
      </c>
      <c r="M99" s="16" t="str">
        <f aca="false">IFERROR(INDEX(Lookups!$L$3:$L$5,MATCH(L99,Lookups!$K$3:$K$5,0)),"")</f>
        <v>Specify in the Functional Specification and verify by individual OQ test case (positive testing). Procedural control where user judgement is involved.</v>
      </c>
      <c r="N99" s="16" t="str">
        <f aca="false">IFERROR(INDEX(Lookups!$M$3:$M$5,MATCH(L99,Lookups!$K$3:$K$5,0)),"")</f>
        <v>Individual OQ test case — positive testing</v>
      </c>
      <c r="O99" s="16" t="s">
        <v>100</v>
      </c>
      <c r="P99" s="16" t="str">
        <f aca="false">IFERROR(INDEX(Lookups!$N$3:$N$5,MATCH(L99,Lookups!$K$3:$K$5,0)),"")</f>
        <v>Low</v>
      </c>
      <c r="Q99" s="16"/>
    </row>
    <row r="100" customFormat="false" ht="60" hidden="false" customHeight="true" outlineLevel="0" collapsed="false">
      <c r="A100" s="15" t="s">
        <v>426</v>
      </c>
      <c r="B100" s="15" t="s">
        <v>427</v>
      </c>
      <c r="C100" s="16" t="s">
        <v>404</v>
      </c>
      <c r="D100" s="16" t="s">
        <v>428</v>
      </c>
      <c r="E100" s="15" t="s">
        <v>171</v>
      </c>
      <c r="F100" s="15" t="s">
        <v>98</v>
      </c>
      <c r="G100" s="16" t="s">
        <v>406</v>
      </c>
      <c r="H100" s="15" t="s">
        <v>45</v>
      </c>
      <c r="I100" s="15" t="s">
        <v>43</v>
      </c>
      <c r="J100" s="15" t="s">
        <v>45</v>
      </c>
      <c r="K100" s="15" t="n">
        <f aca="false">IFERROR(INDEX(Lookups!$D$3:$D$11,MATCH(H100&amp;"|"&amp;I100,Lookups!$C$3:$C$11,0)),"")</f>
        <v>3</v>
      </c>
      <c r="L100" s="15" t="str">
        <f aca="false">IFERROR(INDEX(Lookups!$H$3:$H$11,MATCH(K100&amp;"|"&amp;J100,Lookups!$G$3:$G$11,0)),"")</f>
        <v>High</v>
      </c>
      <c r="M100" s="16" t="str">
        <f aca="false">IFERROR(INDEX(Lookups!$L$3:$L$5,MATCH(L100,Lookups!$K$3:$K$5,0)),"")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100" s="16" t="str">
        <f aca="false">IFERROR(INDEX(Lookups!$M$3:$M$5,MATCH(L100,Lookups!$K$3:$K$5,0)),"")</f>
        <v>Individual OQ test case — positive and negative testing, executed and witnessed</v>
      </c>
      <c r="O100" s="16" t="s">
        <v>100</v>
      </c>
      <c r="P100" s="16" t="str">
        <f aca="false">IFERROR(INDEX(Lookups!$N$3:$N$5,MATCH(L100,Lookups!$K$3:$K$5,0)),"")</f>
        <v>Medium (to be confirmed after test execution)</v>
      </c>
      <c r="Q100" s="16"/>
    </row>
    <row r="101" customFormat="false" ht="60" hidden="false" customHeight="true" outlineLevel="0" collapsed="false">
      <c r="A101" s="15" t="s">
        <v>429</v>
      </c>
      <c r="B101" s="15" t="s">
        <v>430</v>
      </c>
      <c r="C101" s="16" t="s">
        <v>404</v>
      </c>
      <c r="D101" s="16" t="s">
        <v>431</v>
      </c>
      <c r="E101" s="15" t="s">
        <v>97</v>
      </c>
      <c r="F101" s="15" t="s">
        <v>98</v>
      </c>
      <c r="G101" s="16" t="s">
        <v>406</v>
      </c>
      <c r="H101" s="15" t="s">
        <v>45</v>
      </c>
      <c r="I101" s="15" t="s">
        <v>47</v>
      </c>
      <c r="J101" s="15" t="s">
        <v>45</v>
      </c>
      <c r="K101" s="15" t="n">
        <f aca="false">IFERROR(INDEX(Lookups!$D$3:$D$11,MATCH(H101&amp;"|"&amp;I101,Lookups!$C$3:$C$11,0)),"")</f>
        <v>1</v>
      </c>
      <c r="L101" s="15" t="str">
        <f aca="false">IFERROR(INDEX(Lookups!$H$3:$H$11,MATCH(K101&amp;"|"&amp;J101,Lookups!$G$3:$G$11,0)),"")</f>
        <v>Low</v>
      </c>
      <c r="M101" s="16" t="str">
        <f aca="false">IFERROR(INDEX(Lookups!$L$3:$L$5,MATCH(L101,Lookups!$K$3:$K$5,0)),"")</f>
        <v>Verify by grouped OQ execution or PQ/UAT scenario. No additional design control required beyond standard development and code review.</v>
      </c>
      <c r="N101" s="16" t="str">
        <f aca="false">IFERROR(INDEX(Lookups!$M$3:$M$5,MATCH(L101,Lookups!$K$3:$K$5,0)),"")</f>
        <v>Grouped OQ / PQ-UAT scenario verification</v>
      </c>
      <c r="O101" s="16" t="s">
        <v>100</v>
      </c>
      <c r="P101" s="16" t="str">
        <f aca="false">IFERROR(INDEX(Lookups!$N$3:$N$5,MATCH(L101,Lookups!$K$3:$K$5,0)),"")</f>
        <v>Low</v>
      </c>
      <c r="Q101" s="16"/>
    </row>
    <row r="102" customFormat="false" ht="60" hidden="false" customHeight="true" outlineLevel="0" collapsed="false">
      <c r="A102" s="15" t="s">
        <v>432</v>
      </c>
      <c r="B102" s="15" t="s">
        <v>433</v>
      </c>
      <c r="C102" s="16" t="s">
        <v>404</v>
      </c>
      <c r="D102" s="16" t="s">
        <v>434</v>
      </c>
      <c r="E102" s="15" t="s">
        <v>171</v>
      </c>
      <c r="F102" s="15" t="s">
        <v>98</v>
      </c>
      <c r="G102" s="16" t="s">
        <v>406</v>
      </c>
      <c r="H102" s="15" t="s">
        <v>45</v>
      </c>
      <c r="I102" s="15" t="s">
        <v>45</v>
      </c>
      <c r="J102" s="15" t="s">
        <v>45</v>
      </c>
      <c r="K102" s="15" t="n">
        <f aca="false">IFERROR(INDEX(Lookups!$D$3:$D$11,MATCH(H102&amp;"|"&amp;I102,Lookups!$C$3:$C$11,0)),"")</f>
        <v>2</v>
      </c>
      <c r="L102" s="15" t="str">
        <f aca="false">IFERROR(INDEX(Lookups!$H$3:$H$11,MATCH(K102&amp;"|"&amp;J102,Lookups!$G$3:$G$11,0)),"")</f>
        <v>Medium</v>
      </c>
      <c r="M102" s="16" t="str">
        <f aca="false">IFERROR(INDEX(Lookups!$L$3:$L$5,MATCH(L102,Lookups!$K$3:$K$5,0)),"")</f>
        <v>Specify in the Functional Specification and verify by individual OQ test case (positive testing). Procedural control where user judgement is involved.</v>
      </c>
      <c r="N102" s="16" t="str">
        <f aca="false">IFERROR(INDEX(Lookups!$M$3:$M$5,MATCH(L102,Lookups!$K$3:$K$5,0)),"")</f>
        <v>Individual OQ test case — positive testing</v>
      </c>
      <c r="O102" s="16" t="s">
        <v>100</v>
      </c>
      <c r="P102" s="16" t="str">
        <f aca="false">IFERROR(INDEX(Lookups!$N$3:$N$5,MATCH(L102,Lookups!$K$3:$K$5,0)),"")</f>
        <v>Low</v>
      </c>
      <c r="Q102" s="16"/>
    </row>
    <row r="103" customFormat="false" ht="60" hidden="false" customHeight="true" outlineLevel="0" collapsed="false">
      <c r="A103" s="15" t="s">
        <v>435</v>
      </c>
      <c r="B103" s="15" t="s">
        <v>436</v>
      </c>
      <c r="C103" s="16" t="s">
        <v>404</v>
      </c>
      <c r="D103" s="16" t="s">
        <v>437</v>
      </c>
      <c r="E103" s="15" t="s">
        <v>171</v>
      </c>
      <c r="F103" s="15" t="s">
        <v>98</v>
      </c>
      <c r="G103" s="16" t="s">
        <v>406</v>
      </c>
      <c r="H103" s="15" t="s">
        <v>45</v>
      </c>
      <c r="I103" s="15" t="s">
        <v>45</v>
      </c>
      <c r="J103" s="15" t="s">
        <v>45</v>
      </c>
      <c r="K103" s="15" t="n">
        <f aca="false">IFERROR(INDEX(Lookups!$D$3:$D$11,MATCH(H103&amp;"|"&amp;I103,Lookups!$C$3:$C$11,0)),"")</f>
        <v>2</v>
      </c>
      <c r="L103" s="15" t="str">
        <f aca="false">IFERROR(INDEX(Lookups!$H$3:$H$11,MATCH(K103&amp;"|"&amp;J103,Lookups!$G$3:$G$11,0)),"")</f>
        <v>Medium</v>
      </c>
      <c r="M103" s="16" t="str">
        <f aca="false">IFERROR(INDEX(Lookups!$L$3:$L$5,MATCH(L103,Lookups!$K$3:$K$5,0)),"")</f>
        <v>Specify in the Functional Specification and verify by individual OQ test case (positive testing). Procedural control where user judgement is involved.</v>
      </c>
      <c r="N103" s="16" t="str">
        <f aca="false">IFERROR(INDEX(Lookups!$M$3:$M$5,MATCH(L103,Lookups!$K$3:$K$5,0)),"")</f>
        <v>Individual OQ test case — positive testing</v>
      </c>
      <c r="O103" s="16" t="s">
        <v>100</v>
      </c>
      <c r="P103" s="16" t="str">
        <f aca="false">IFERROR(INDEX(Lookups!$N$3:$N$5,MATCH(L103,Lookups!$K$3:$K$5,0)),"")</f>
        <v>Low</v>
      </c>
      <c r="Q103" s="16"/>
    </row>
    <row r="104" customFormat="false" ht="60" hidden="false" customHeight="true" outlineLevel="0" collapsed="false">
      <c r="A104" s="15" t="s">
        <v>438</v>
      </c>
      <c r="B104" s="15" t="s">
        <v>439</v>
      </c>
      <c r="C104" s="16" t="s">
        <v>404</v>
      </c>
      <c r="D104" s="16" t="s">
        <v>440</v>
      </c>
      <c r="E104" s="15" t="s">
        <v>97</v>
      </c>
      <c r="F104" s="15" t="s">
        <v>98</v>
      </c>
      <c r="G104" s="16" t="s">
        <v>406</v>
      </c>
      <c r="H104" s="15" t="s">
        <v>47</v>
      </c>
      <c r="I104" s="15" t="s">
        <v>45</v>
      </c>
      <c r="J104" s="15" t="s">
        <v>43</v>
      </c>
      <c r="K104" s="15" t="n">
        <f aca="false">IFERROR(INDEX(Lookups!$D$3:$D$11,MATCH(H104&amp;"|"&amp;I104,Lookups!$C$3:$C$11,0)),"")</f>
        <v>1</v>
      </c>
      <c r="L104" s="15" t="str">
        <f aca="false">IFERROR(INDEX(Lookups!$H$3:$H$11,MATCH(K104&amp;"|"&amp;J104,Lookups!$G$3:$G$11,0)),"")</f>
        <v>Low</v>
      </c>
      <c r="M104" s="16" t="str">
        <f aca="false">IFERROR(INDEX(Lookups!$L$3:$L$5,MATCH(L104,Lookups!$K$3:$K$5,0)),"")</f>
        <v>Verify by grouped OQ execution or PQ/UAT scenario. No additional design control required beyond standard development and code review.</v>
      </c>
      <c r="N104" s="16" t="str">
        <f aca="false">IFERROR(INDEX(Lookups!$M$3:$M$5,MATCH(L104,Lookups!$K$3:$K$5,0)),"")</f>
        <v>Grouped OQ / PQ-UAT scenario verification</v>
      </c>
      <c r="O104" s="16" t="s">
        <v>100</v>
      </c>
      <c r="P104" s="16" t="str">
        <f aca="false">IFERROR(INDEX(Lookups!$N$3:$N$5,MATCH(L104,Lookups!$K$3:$K$5,0)),"")</f>
        <v>Low</v>
      </c>
      <c r="Q104" s="16"/>
    </row>
    <row r="105" customFormat="false" ht="60" hidden="false" customHeight="true" outlineLevel="0" collapsed="false">
      <c r="A105" s="15" t="s">
        <v>441</v>
      </c>
      <c r="B105" s="15" t="s">
        <v>442</v>
      </c>
      <c r="C105" s="16" t="s">
        <v>404</v>
      </c>
      <c r="D105" s="16" t="s">
        <v>443</v>
      </c>
      <c r="E105" s="15" t="s">
        <v>97</v>
      </c>
      <c r="F105" s="15" t="s">
        <v>98</v>
      </c>
      <c r="G105" s="16" t="s">
        <v>406</v>
      </c>
      <c r="H105" s="15" t="s">
        <v>45</v>
      </c>
      <c r="I105" s="15" t="s">
        <v>45</v>
      </c>
      <c r="J105" s="15" t="s">
        <v>43</v>
      </c>
      <c r="K105" s="15" t="n">
        <f aca="false">IFERROR(INDEX(Lookups!$D$3:$D$11,MATCH(H105&amp;"|"&amp;I105,Lookups!$C$3:$C$11,0)),"")</f>
        <v>2</v>
      </c>
      <c r="L105" s="15" t="str">
        <f aca="false">IFERROR(INDEX(Lookups!$H$3:$H$11,MATCH(K105&amp;"|"&amp;J105,Lookups!$G$3:$G$11,0)),"")</f>
        <v>Low</v>
      </c>
      <c r="M105" s="16" t="str">
        <f aca="false">IFERROR(INDEX(Lookups!$L$3:$L$5,MATCH(L105,Lookups!$K$3:$K$5,0)),"")</f>
        <v>Verify by grouped OQ execution or PQ/UAT scenario. No additional design control required beyond standard development and code review.</v>
      </c>
      <c r="N105" s="16" t="str">
        <f aca="false">IFERROR(INDEX(Lookups!$M$3:$M$5,MATCH(L105,Lookups!$K$3:$K$5,0)),"")</f>
        <v>Grouped OQ / PQ-UAT scenario verification</v>
      </c>
      <c r="O105" s="16" t="s">
        <v>100</v>
      </c>
      <c r="P105" s="16" t="str">
        <f aca="false">IFERROR(INDEX(Lookups!$N$3:$N$5,MATCH(L105,Lookups!$K$3:$K$5,0)),"")</f>
        <v>Low</v>
      </c>
      <c r="Q105" s="16"/>
    </row>
    <row r="106" customFormat="false" ht="60" hidden="false" customHeight="true" outlineLevel="0" collapsed="false">
      <c r="A106" s="15" t="s">
        <v>444</v>
      </c>
      <c r="B106" s="15" t="s">
        <v>445</v>
      </c>
      <c r="C106" s="16" t="s">
        <v>404</v>
      </c>
      <c r="D106" s="16" t="s">
        <v>446</v>
      </c>
      <c r="E106" s="15" t="s">
        <v>97</v>
      </c>
      <c r="F106" s="15" t="s">
        <v>98</v>
      </c>
      <c r="G106" s="16" t="s">
        <v>406</v>
      </c>
      <c r="H106" s="15" t="s">
        <v>45</v>
      </c>
      <c r="I106" s="15" t="s">
        <v>45</v>
      </c>
      <c r="J106" s="15" t="s">
        <v>43</v>
      </c>
      <c r="K106" s="15" t="n">
        <f aca="false">IFERROR(INDEX(Lookups!$D$3:$D$11,MATCH(H106&amp;"|"&amp;I106,Lookups!$C$3:$C$11,0)),"")</f>
        <v>2</v>
      </c>
      <c r="L106" s="15" t="str">
        <f aca="false">IFERROR(INDEX(Lookups!$H$3:$H$11,MATCH(K106&amp;"|"&amp;J106,Lookups!$G$3:$G$11,0)),"")</f>
        <v>Low</v>
      </c>
      <c r="M106" s="16" t="str">
        <f aca="false">IFERROR(INDEX(Lookups!$L$3:$L$5,MATCH(L106,Lookups!$K$3:$K$5,0)),"")</f>
        <v>Verify by grouped OQ execution or PQ/UAT scenario. No additional design control required beyond standard development and code review.</v>
      </c>
      <c r="N106" s="16" t="str">
        <f aca="false">IFERROR(INDEX(Lookups!$M$3:$M$5,MATCH(L106,Lookups!$K$3:$K$5,0)),"")</f>
        <v>Grouped OQ / PQ-UAT scenario verification</v>
      </c>
      <c r="O106" s="16" t="s">
        <v>100</v>
      </c>
      <c r="P106" s="16" t="str">
        <f aca="false">IFERROR(INDEX(Lookups!$N$3:$N$5,MATCH(L106,Lookups!$K$3:$K$5,0)),"")</f>
        <v>Low</v>
      </c>
      <c r="Q106" s="16"/>
    </row>
    <row r="107" customFormat="false" ht="60" hidden="false" customHeight="true" outlineLevel="0" collapsed="false">
      <c r="A107" s="15" t="s">
        <v>447</v>
      </c>
      <c r="B107" s="15" t="s">
        <v>448</v>
      </c>
      <c r="C107" s="16" t="s">
        <v>404</v>
      </c>
      <c r="D107" s="16" t="s">
        <v>449</v>
      </c>
      <c r="E107" s="15" t="s">
        <v>97</v>
      </c>
      <c r="F107" s="15" t="s">
        <v>98</v>
      </c>
      <c r="G107" s="16" t="s">
        <v>450</v>
      </c>
      <c r="H107" s="15" t="s">
        <v>43</v>
      </c>
      <c r="I107" s="15" t="s">
        <v>43</v>
      </c>
      <c r="J107" s="15" t="s">
        <v>45</v>
      </c>
      <c r="K107" s="15" t="n">
        <f aca="false">IFERROR(INDEX(Lookups!$D$3:$D$11,MATCH(H107&amp;"|"&amp;I107,Lookups!$C$3:$C$11,0)),"")</f>
        <v>3</v>
      </c>
      <c r="L107" s="15" t="str">
        <f aca="false">IFERROR(INDEX(Lookups!$H$3:$H$11,MATCH(K107&amp;"|"&amp;J107,Lookups!$G$3:$G$11,0)),"")</f>
        <v>High</v>
      </c>
      <c r="M107" s="16" t="str">
        <f aca="false">IFERROR(INDEX(Lookups!$L$3:$L$5,MATCH(L107,Lookups!$K$3:$K$5,0)),"")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107" s="16" t="str">
        <f aca="false">IFERROR(INDEX(Lookups!$M$3:$M$5,MATCH(L107,Lookups!$K$3:$K$5,0)),"")</f>
        <v>Individual OQ test case — positive and negative testing, executed and witnessed</v>
      </c>
      <c r="O107" s="16" t="s">
        <v>100</v>
      </c>
      <c r="P107" s="16" t="str">
        <f aca="false">IFERROR(INDEX(Lookups!$N$3:$N$5,MATCH(L107,Lookups!$K$3:$K$5,0)),"")</f>
        <v>Medium (to be confirmed after test execution)</v>
      </c>
      <c r="Q107" s="16"/>
    </row>
    <row r="108" customFormat="false" ht="60" hidden="false" customHeight="true" outlineLevel="0" collapsed="false">
      <c r="A108" s="15" t="s">
        <v>451</v>
      </c>
      <c r="B108" s="15" t="s">
        <v>452</v>
      </c>
      <c r="C108" s="16" t="s">
        <v>404</v>
      </c>
      <c r="D108" s="16" t="s">
        <v>453</v>
      </c>
      <c r="E108" s="15" t="s">
        <v>97</v>
      </c>
      <c r="F108" s="15" t="s">
        <v>98</v>
      </c>
      <c r="G108" s="16" t="s">
        <v>454</v>
      </c>
      <c r="H108" s="15" t="s">
        <v>43</v>
      </c>
      <c r="I108" s="15" t="s">
        <v>45</v>
      </c>
      <c r="J108" s="15" t="s">
        <v>47</v>
      </c>
      <c r="K108" s="15" t="n">
        <f aca="false">IFERROR(INDEX(Lookups!$D$3:$D$11,MATCH(H108&amp;"|"&amp;I108,Lookups!$C$3:$C$11,0)),"")</f>
        <v>3</v>
      </c>
      <c r="L108" s="15" t="str">
        <f aca="false">IFERROR(INDEX(Lookups!$H$3:$H$11,MATCH(K108&amp;"|"&amp;J108,Lookups!$G$3:$G$11,0)),"")</f>
        <v>High</v>
      </c>
      <c r="M108" s="16" t="str">
        <f aca="false">IFERROR(INDEX(Lookups!$L$3:$L$5,MATCH(L108,Lookups!$K$3:$K$5,0)),"")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108" s="16" t="str">
        <f aca="false">IFERROR(INDEX(Lookups!$M$3:$M$5,MATCH(L108,Lookups!$K$3:$K$5,0)),"")</f>
        <v>Individual OQ test case — positive and negative testing, executed and witnessed</v>
      </c>
      <c r="O108" s="16" t="s">
        <v>100</v>
      </c>
      <c r="P108" s="16" t="str">
        <f aca="false">IFERROR(INDEX(Lookups!$N$3:$N$5,MATCH(L108,Lookups!$K$3:$K$5,0)),"")</f>
        <v>Medium (to be confirmed after test execution)</v>
      </c>
      <c r="Q108" s="16"/>
    </row>
    <row r="109" customFormat="false" ht="60" hidden="false" customHeight="true" outlineLevel="0" collapsed="false">
      <c r="A109" s="15" t="s">
        <v>455</v>
      </c>
      <c r="B109" s="15" t="s">
        <v>456</v>
      </c>
      <c r="C109" s="16" t="s">
        <v>404</v>
      </c>
      <c r="D109" s="16" t="s">
        <v>457</v>
      </c>
      <c r="E109" s="15" t="s">
        <v>97</v>
      </c>
      <c r="F109" s="15" t="s">
        <v>98</v>
      </c>
      <c r="G109" s="16" t="s">
        <v>458</v>
      </c>
      <c r="H109" s="15" t="s">
        <v>45</v>
      </c>
      <c r="I109" s="15" t="s">
        <v>45</v>
      </c>
      <c r="J109" s="15" t="s">
        <v>43</v>
      </c>
      <c r="K109" s="15" t="n">
        <f aca="false">IFERROR(INDEX(Lookups!$D$3:$D$11,MATCH(H109&amp;"|"&amp;I109,Lookups!$C$3:$C$11,0)),"")</f>
        <v>2</v>
      </c>
      <c r="L109" s="15" t="str">
        <f aca="false">IFERROR(INDEX(Lookups!$H$3:$H$11,MATCH(K109&amp;"|"&amp;J109,Lookups!$G$3:$G$11,0)),"")</f>
        <v>Low</v>
      </c>
      <c r="M109" s="16" t="str">
        <f aca="false">IFERROR(INDEX(Lookups!$L$3:$L$5,MATCH(L109,Lookups!$K$3:$K$5,0)),"")</f>
        <v>Verify by grouped OQ execution or PQ/UAT scenario. No additional design control required beyond standard development and code review.</v>
      </c>
      <c r="N109" s="16" t="str">
        <f aca="false">IFERROR(INDEX(Lookups!$M$3:$M$5,MATCH(L109,Lookups!$K$3:$K$5,0)),"")</f>
        <v>Grouped OQ / PQ-UAT scenario verification</v>
      </c>
      <c r="O109" s="16" t="s">
        <v>100</v>
      </c>
      <c r="P109" s="16" t="str">
        <f aca="false">IFERROR(INDEX(Lookups!$N$3:$N$5,MATCH(L109,Lookups!$K$3:$K$5,0)),"")</f>
        <v>Low</v>
      </c>
      <c r="Q109" s="16"/>
    </row>
    <row r="110" customFormat="false" ht="60" hidden="false" customHeight="true" outlineLevel="0" collapsed="false">
      <c r="A110" s="15" t="s">
        <v>459</v>
      </c>
      <c r="B110" s="15" t="s">
        <v>460</v>
      </c>
      <c r="C110" s="16" t="s">
        <v>404</v>
      </c>
      <c r="D110" s="16" t="s">
        <v>461</v>
      </c>
      <c r="E110" s="15" t="s">
        <v>97</v>
      </c>
      <c r="F110" s="15" t="s">
        <v>98</v>
      </c>
      <c r="G110" s="16" t="s">
        <v>406</v>
      </c>
      <c r="H110" s="15" t="s">
        <v>45</v>
      </c>
      <c r="I110" s="15" t="s">
        <v>43</v>
      </c>
      <c r="J110" s="15" t="s">
        <v>45</v>
      </c>
      <c r="K110" s="15" t="n">
        <f aca="false">IFERROR(INDEX(Lookups!$D$3:$D$11,MATCH(H110&amp;"|"&amp;I110,Lookups!$C$3:$C$11,0)),"")</f>
        <v>3</v>
      </c>
      <c r="L110" s="15" t="str">
        <f aca="false">IFERROR(INDEX(Lookups!$H$3:$H$11,MATCH(K110&amp;"|"&amp;J110,Lookups!$G$3:$G$11,0)),"")</f>
        <v>High</v>
      </c>
      <c r="M110" s="16" t="str">
        <f aca="false">IFERROR(INDEX(Lookups!$L$3:$L$5,MATCH(L110,Lookups!$K$3:$K$5,0)),"")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110" s="16" t="str">
        <f aca="false">IFERROR(INDEX(Lookups!$M$3:$M$5,MATCH(L110,Lookups!$K$3:$K$5,0)),"")</f>
        <v>Individual OQ test case — positive and negative testing, executed and witnessed</v>
      </c>
      <c r="O110" s="16" t="s">
        <v>100</v>
      </c>
      <c r="P110" s="16" t="str">
        <f aca="false">IFERROR(INDEX(Lookups!$N$3:$N$5,MATCH(L110,Lookups!$K$3:$K$5,0)),"")</f>
        <v>Medium (to be confirmed after test execution)</v>
      </c>
      <c r="Q110" s="16"/>
    </row>
    <row r="111" customFormat="false" ht="60" hidden="false" customHeight="true" outlineLevel="0" collapsed="false">
      <c r="A111" s="15" t="s">
        <v>462</v>
      </c>
      <c r="B111" s="15" t="s">
        <v>463</v>
      </c>
      <c r="C111" s="16" t="s">
        <v>404</v>
      </c>
      <c r="D111" s="16" t="s">
        <v>464</v>
      </c>
      <c r="E111" s="15" t="s">
        <v>97</v>
      </c>
      <c r="F111" s="15" t="s">
        <v>98</v>
      </c>
      <c r="G111" s="16" t="s">
        <v>406</v>
      </c>
      <c r="H111" s="15" t="s">
        <v>45</v>
      </c>
      <c r="I111" s="15" t="s">
        <v>45</v>
      </c>
      <c r="J111" s="15" t="s">
        <v>45</v>
      </c>
      <c r="K111" s="15" t="n">
        <f aca="false">IFERROR(INDEX(Lookups!$D$3:$D$11,MATCH(H111&amp;"|"&amp;I111,Lookups!$C$3:$C$11,0)),"")</f>
        <v>2</v>
      </c>
      <c r="L111" s="15" t="str">
        <f aca="false">IFERROR(INDEX(Lookups!$H$3:$H$11,MATCH(K111&amp;"|"&amp;J111,Lookups!$G$3:$G$11,0)),"")</f>
        <v>Medium</v>
      </c>
      <c r="M111" s="16" t="str">
        <f aca="false">IFERROR(INDEX(Lookups!$L$3:$L$5,MATCH(L111,Lookups!$K$3:$K$5,0)),"")</f>
        <v>Specify in the Functional Specification and verify by individual OQ test case (positive testing). Procedural control where user judgement is involved.</v>
      </c>
      <c r="N111" s="16" t="str">
        <f aca="false">IFERROR(INDEX(Lookups!$M$3:$M$5,MATCH(L111,Lookups!$K$3:$K$5,0)),"")</f>
        <v>Individual OQ test case — positive testing</v>
      </c>
      <c r="O111" s="16" t="s">
        <v>100</v>
      </c>
      <c r="P111" s="16" t="str">
        <f aca="false">IFERROR(INDEX(Lookups!$N$3:$N$5,MATCH(L111,Lookups!$K$3:$K$5,0)),"")</f>
        <v>Low</v>
      </c>
      <c r="Q111" s="16"/>
    </row>
    <row r="112" customFormat="false" ht="60" hidden="false" customHeight="true" outlineLevel="0" collapsed="false">
      <c r="A112" s="15" t="s">
        <v>465</v>
      </c>
      <c r="B112" s="15" t="s">
        <v>466</v>
      </c>
      <c r="C112" s="16" t="s">
        <v>467</v>
      </c>
      <c r="D112" s="16" t="s">
        <v>468</v>
      </c>
      <c r="E112" s="15" t="s">
        <v>97</v>
      </c>
      <c r="F112" s="15" t="s">
        <v>98</v>
      </c>
      <c r="G112" s="16" t="s">
        <v>469</v>
      </c>
      <c r="H112" s="15" t="s">
        <v>45</v>
      </c>
      <c r="I112" s="15" t="s">
        <v>43</v>
      </c>
      <c r="J112" s="15" t="s">
        <v>45</v>
      </c>
      <c r="K112" s="15" t="n">
        <f aca="false">IFERROR(INDEX(Lookups!$D$3:$D$11,MATCH(H112&amp;"|"&amp;I112,Lookups!$C$3:$C$11,0)),"")</f>
        <v>3</v>
      </c>
      <c r="L112" s="15" t="str">
        <f aca="false">IFERROR(INDEX(Lookups!$H$3:$H$11,MATCH(K112&amp;"|"&amp;J112,Lookups!$G$3:$G$11,0)),"")</f>
        <v>High</v>
      </c>
      <c r="M112" s="16" t="str">
        <f aca="false">IFERROR(INDEX(Lookups!$L$3:$L$5,MATCH(L112,Lookups!$K$3:$K$5,0)),"")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112" s="16" t="str">
        <f aca="false">IFERROR(INDEX(Lookups!$M$3:$M$5,MATCH(L112,Lookups!$K$3:$K$5,0)),"")</f>
        <v>Individual OQ test case — positive and negative testing, executed and witnessed</v>
      </c>
      <c r="O112" s="16" t="s">
        <v>100</v>
      </c>
      <c r="P112" s="16" t="str">
        <f aca="false">IFERROR(INDEX(Lookups!$N$3:$N$5,MATCH(L112,Lookups!$K$3:$K$5,0)),"")</f>
        <v>Medium (to be confirmed after test execution)</v>
      </c>
      <c r="Q112" s="16"/>
    </row>
    <row r="113" customFormat="false" ht="60" hidden="false" customHeight="true" outlineLevel="0" collapsed="false">
      <c r="A113" s="15" t="s">
        <v>470</v>
      </c>
      <c r="B113" s="15" t="s">
        <v>471</v>
      </c>
      <c r="C113" s="16" t="s">
        <v>467</v>
      </c>
      <c r="D113" s="16" t="s">
        <v>472</v>
      </c>
      <c r="E113" s="15" t="s">
        <v>97</v>
      </c>
      <c r="F113" s="15" t="s">
        <v>98</v>
      </c>
      <c r="G113" s="16" t="s">
        <v>469</v>
      </c>
      <c r="H113" s="15" t="s">
        <v>45</v>
      </c>
      <c r="I113" s="15" t="s">
        <v>45</v>
      </c>
      <c r="J113" s="15" t="s">
        <v>45</v>
      </c>
      <c r="K113" s="15" t="n">
        <f aca="false">IFERROR(INDEX(Lookups!$D$3:$D$11,MATCH(H113&amp;"|"&amp;I113,Lookups!$C$3:$C$11,0)),"")</f>
        <v>2</v>
      </c>
      <c r="L113" s="15" t="str">
        <f aca="false">IFERROR(INDEX(Lookups!$H$3:$H$11,MATCH(K113&amp;"|"&amp;J113,Lookups!$G$3:$G$11,0)),"")</f>
        <v>Medium</v>
      </c>
      <c r="M113" s="16" t="str">
        <f aca="false">IFERROR(INDEX(Lookups!$L$3:$L$5,MATCH(L113,Lookups!$K$3:$K$5,0)),"")</f>
        <v>Specify in the Functional Specification and verify by individual OQ test case (positive testing). Procedural control where user judgement is involved.</v>
      </c>
      <c r="N113" s="16" t="str">
        <f aca="false">IFERROR(INDEX(Lookups!$M$3:$M$5,MATCH(L113,Lookups!$K$3:$K$5,0)),"")</f>
        <v>Individual OQ test case — positive testing</v>
      </c>
      <c r="O113" s="16" t="s">
        <v>100</v>
      </c>
      <c r="P113" s="16" t="str">
        <f aca="false">IFERROR(INDEX(Lookups!$N$3:$N$5,MATCH(L113,Lookups!$K$3:$K$5,0)),"")</f>
        <v>Low</v>
      </c>
      <c r="Q113" s="16"/>
    </row>
    <row r="114" customFormat="false" ht="60" hidden="false" customHeight="true" outlineLevel="0" collapsed="false">
      <c r="A114" s="15" t="s">
        <v>473</v>
      </c>
      <c r="B114" s="15" t="s">
        <v>474</v>
      </c>
      <c r="C114" s="16" t="s">
        <v>467</v>
      </c>
      <c r="D114" s="16" t="s">
        <v>475</v>
      </c>
      <c r="E114" s="15" t="s">
        <v>97</v>
      </c>
      <c r="F114" s="15" t="s">
        <v>98</v>
      </c>
      <c r="G114" s="16" t="s">
        <v>469</v>
      </c>
      <c r="H114" s="15" t="s">
        <v>45</v>
      </c>
      <c r="I114" s="15" t="s">
        <v>43</v>
      </c>
      <c r="J114" s="15" t="s">
        <v>45</v>
      </c>
      <c r="K114" s="15" t="n">
        <f aca="false">IFERROR(INDEX(Lookups!$D$3:$D$11,MATCH(H114&amp;"|"&amp;I114,Lookups!$C$3:$C$11,0)),"")</f>
        <v>3</v>
      </c>
      <c r="L114" s="15" t="str">
        <f aca="false">IFERROR(INDEX(Lookups!$H$3:$H$11,MATCH(K114&amp;"|"&amp;J114,Lookups!$G$3:$G$11,0)),"")</f>
        <v>High</v>
      </c>
      <c r="M114" s="16" t="str">
        <f aca="false">IFERROR(INDEX(Lookups!$L$3:$L$5,MATCH(L114,Lookups!$K$3:$K$5,0)),"")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114" s="16" t="str">
        <f aca="false">IFERROR(INDEX(Lookups!$M$3:$M$5,MATCH(L114,Lookups!$K$3:$K$5,0)),"")</f>
        <v>Individual OQ test case — positive and negative testing, executed and witnessed</v>
      </c>
      <c r="O114" s="16" t="s">
        <v>100</v>
      </c>
      <c r="P114" s="16" t="str">
        <f aca="false">IFERROR(INDEX(Lookups!$N$3:$N$5,MATCH(L114,Lookups!$K$3:$K$5,0)),"")</f>
        <v>Medium (to be confirmed after test execution)</v>
      </c>
      <c r="Q114" s="16"/>
    </row>
    <row r="115" customFormat="false" ht="60" hidden="false" customHeight="true" outlineLevel="0" collapsed="false">
      <c r="A115" s="15" t="s">
        <v>476</v>
      </c>
      <c r="B115" s="15" t="s">
        <v>477</v>
      </c>
      <c r="C115" s="16" t="s">
        <v>467</v>
      </c>
      <c r="D115" s="16" t="s">
        <v>478</v>
      </c>
      <c r="E115" s="15" t="s">
        <v>97</v>
      </c>
      <c r="F115" s="15" t="s">
        <v>98</v>
      </c>
      <c r="G115" s="16" t="s">
        <v>469</v>
      </c>
      <c r="H115" s="15" t="s">
        <v>45</v>
      </c>
      <c r="I115" s="15" t="s">
        <v>43</v>
      </c>
      <c r="J115" s="15" t="s">
        <v>45</v>
      </c>
      <c r="K115" s="15" t="n">
        <f aca="false">IFERROR(INDEX(Lookups!$D$3:$D$11,MATCH(H115&amp;"|"&amp;I115,Lookups!$C$3:$C$11,0)),"")</f>
        <v>3</v>
      </c>
      <c r="L115" s="15" t="str">
        <f aca="false">IFERROR(INDEX(Lookups!$H$3:$H$11,MATCH(K115&amp;"|"&amp;J115,Lookups!$G$3:$G$11,0)),"")</f>
        <v>High</v>
      </c>
      <c r="M115" s="16" t="str">
        <f aca="false">IFERROR(INDEX(Lookups!$L$3:$L$5,MATCH(L115,Lookups!$K$3:$K$5,0)),"")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115" s="16" t="str">
        <f aca="false">IFERROR(INDEX(Lookups!$M$3:$M$5,MATCH(L115,Lookups!$K$3:$K$5,0)),"")</f>
        <v>Individual OQ test case — positive and negative testing, executed and witnessed</v>
      </c>
      <c r="O115" s="16" t="s">
        <v>100</v>
      </c>
      <c r="P115" s="16" t="str">
        <f aca="false">IFERROR(INDEX(Lookups!$N$3:$N$5,MATCH(L115,Lookups!$K$3:$K$5,0)),"")</f>
        <v>Medium (to be confirmed after test execution)</v>
      </c>
      <c r="Q115" s="16"/>
    </row>
    <row r="116" customFormat="false" ht="60" hidden="false" customHeight="true" outlineLevel="0" collapsed="false">
      <c r="A116" s="15" t="s">
        <v>479</v>
      </c>
      <c r="B116" s="15" t="s">
        <v>480</v>
      </c>
      <c r="C116" s="16" t="s">
        <v>467</v>
      </c>
      <c r="D116" s="16" t="s">
        <v>481</v>
      </c>
      <c r="E116" s="15" t="s">
        <v>97</v>
      </c>
      <c r="F116" s="15" t="s">
        <v>98</v>
      </c>
      <c r="G116" s="16" t="s">
        <v>469</v>
      </c>
      <c r="H116" s="15" t="s">
        <v>45</v>
      </c>
      <c r="I116" s="15" t="s">
        <v>45</v>
      </c>
      <c r="J116" s="15" t="s">
        <v>45</v>
      </c>
      <c r="K116" s="15" t="n">
        <f aca="false">IFERROR(INDEX(Lookups!$D$3:$D$11,MATCH(H116&amp;"|"&amp;I116,Lookups!$C$3:$C$11,0)),"")</f>
        <v>2</v>
      </c>
      <c r="L116" s="15" t="str">
        <f aca="false">IFERROR(INDEX(Lookups!$H$3:$H$11,MATCH(K116&amp;"|"&amp;J116,Lookups!$G$3:$G$11,0)),"")</f>
        <v>Medium</v>
      </c>
      <c r="M116" s="16" t="str">
        <f aca="false">IFERROR(INDEX(Lookups!$L$3:$L$5,MATCH(L116,Lookups!$K$3:$K$5,0)),"")</f>
        <v>Specify in the Functional Specification and verify by individual OQ test case (positive testing). Procedural control where user judgement is involved.</v>
      </c>
      <c r="N116" s="16" t="str">
        <f aca="false">IFERROR(INDEX(Lookups!$M$3:$M$5,MATCH(L116,Lookups!$K$3:$K$5,0)),"")</f>
        <v>Individual OQ test case — positive testing</v>
      </c>
      <c r="O116" s="16" t="s">
        <v>100</v>
      </c>
      <c r="P116" s="16" t="str">
        <f aca="false">IFERROR(INDEX(Lookups!$N$3:$N$5,MATCH(L116,Lookups!$K$3:$K$5,0)),"")</f>
        <v>Low</v>
      </c>
      <c r="Q116" s="16"/>
    </row>
    <row r="117" customFormat="false" ht="60" hidden="false" customHeight="true" outlineLevel="0" collapsed="false">
      <c r="A117" s="15" t="s">
        <v>482</v>
      </c>
      <c r="B117" s="15" t="s">
        <v>483</v>
      </c>
      <c r="C117" s="16" t="s">
        <v>484</v>
      </c>
      <c r="D117" s="16" t="s">
        <v>485</v>
      </c>
      <c r="E117" s="15" t="s">
        <v>97</v>
      </c>
      <c r="F117" s="15" t="s">
        <v>98</v>
      </c>
      <c r="G117" s="16" t="s">
        <v>486</v>
      </c>
      <c r="H117" s="15" t="s">
        <v>45</v>
      </c>
      <c r="I117" s="15" t="s">
        <v>45</v>
      </c>
      <c r="J117" s="15" t="s">
        <v>45</v>
      </c>
      <c r="K117" s="15" t="n">
        <f aca="false">IFERROR(INDEX(Lookups!$D$3:$D$11,MATCH(H117&amp;"|"&amp;I117,Lookups!$C$3:$C$11,0)),"")</f>
        <v>2</v>
      </c>
      <c r="L117" s="15" t="str">
        <f aca="false">IFERROR(INDEX(Lookups!$H$3:$H$11,MATCH(K117&amp;"|"&amp;J117,Lookups!$G$3:$G$11,0)),"")</f>
        <v>Medium</v>
      </c>
      <c r="M117" s="16" t="str">
        <f aca="false">IFERROR(INDEX(Lookups!$L$3:$L$5,MATCH(L117,Lookups!$K$3:$K$5,0)),"")</f>
        <v>Specify in the Functional Specification and verify by individual OQ test case (positive testing). Procedural control where user judgement is involved.</v>
      </c>
      <c r="N117" s="16" t="str">
        <f aca="false">IFERROR(INDEX(Lookups!$M$3:$M$5,MATCH(L117,Lookups!$K$3:$K$5,0)),"")</f>
        <v>Individual OQ test case — positive testing</v>
      </c>
      <c r="O117" s="16" t="s">
        <v>100</v>
      </c>
      <c r="P117" s="16" t="str">
        <f aca="false">IFERROR(INDEX(Lookups!$N$3:$N$5,MATCH(L117,Lookups!$K$3:$K$5,0)),"")</f>
        <v>Low</v>
      </c>
      <c r="Q117" s="16"/>
    </row>
    <row r="118" customFormat="false" ht="60" hidden="false" customHeight="true" outlineLevel="0" collapsed="false">
      <c r="A118" s="15" t="s">
        <v>487</v>
      </c>
      <c r="B118" s="15" t="s">
        <v>488</v>
      </c>
      <c r="C118" s="16" t="s">
        <v>484</v>
      </c>
      <c r="D118" s="16" t="s">
        <v>489</v>
      </c>
      <c r="E118" s="15" t="s">
        <v>97</v>
      </c>
      <c r="F118" s="15" t="s">
        <v>98</v>
      </c>
      <c r="G118" s="16" t="s">
        <v>486</v>
      </c>
      <c r="H118" s="15" t="s">
        <v>47</v>
      </c>
      <c r="I118" s="15" t="s">
        <v>45</v>
      </c>
      <c r="J118" s="15" t="s">
        <v>45</v>
      </c>
      <c r="K118" s="15" t="n">
        <f aca="false">IFERROR(INDEX(Lookups!$D$3:$D$11,MATCH(H118&amp;"|"&amp;I118,Lookups!$C$3:$C$11,0)),"")</f>
        <v>1</v>
      </c>
      <c r="L118" s="15" t="str">
        <f aca="false">IFERROR(INDEX(Lookups!$H$3:$H$11,MATCH(K118&amp;"|"&amp;J118,Lookups!$G$3:$G$11,0)),"")</f>
        <v>Low</v>
      </c>
      <c r="M118" s="16" t="str">
        <f aca="false">IFERROR(INDEX(Lookups!$L$3:$L$5,MATCH(L118,Lookups!$K$3:$K$5,0)),"")</f>
        <v>Verify by grouped OQ execution or PQ/UAT scenario. No additional design control required beyond standard development and code review.</v>
      </c>
      <c r="N118" s="16" t="str">
        <f aca="false">IFERROR(INDEX(Lookups!$M$3:$M$5,MATCH(L118,Lookups!$K$3:$K$5,0)),"")</f>
        <v>Grouped OQ / PQ-UAT scenario verification</v>
      </c>
      <c r="O118" s="16" t="s">
        <v>100</v>
      </c>
      <c r="P118" s="16" t="str">
        <f aca="false">IFERROR(INDEX(Lookups!$N$3:$N$5,MATCH(L118,Lookups!$K$3:$K$5,0)),"")</f>
        <v>Low</v>
      </c>
      <c r="Q118" s="16"/>
    </row>
    <row r="119" customFormat="false" ht="60" hidden="false" customHeight="true" outlineLevel="0" collapsed="false">
      <c r="A119" s="15" t="s">
        <v>490</v>
      </c>
      <c r="B119" s="15" t="s">
        <v>491</v>
      </c>
      <c r="C119" s="16" t="s">
        <v>484</v>
      </c>
      <c r="D119" s="16" t="s">
        <v>492</v>
      </c>
      <c r="E119" s="15" t="s">
        <v>171</v>
      </c>
      <c r="F119" s="15" t="s">
        <v>98</v>
      </c>
      <c r="G119" s="16" t="s">
        <v>486</v>
      </c>
      <c r="H119" s="15" t="s">
        <v>45</v>
      </c>
      <c r="I119" s="15" t="s">
        <v>45</v>
      </c>
      <c r="J119" s="15" t="s">
        <v>45</v>
      </c>
      <c r="K119" s="15" t="n">
        <f aca="false">IFERROR(INDEX(Lookups!$D$3:$D$11,MATCH(H119&amp;"|"&amp;I119,Lookups!$C$3:$C$11,0)),"")</f>
        <v>2</v>
      </c>
      <c r="L119" s="15" t="str">
        <f aca="false">IFERROR(INDEX(Lookups!$H$3:$H$11,MATCH(K119&amp;"|"&amp;J119,Lookups!$G$3:$G$11,0)),"")</f>
        <v>Medium</v>
      </c>
      <c r="M119" s="16" t="str">
        <f aca="false">IFERROR(INDEX(Lookups!$L$3:$L$5,MATCH(L119,Lookups!$K$3:$K$5,0)),"")</f>
        <v>Specify in the Functional Specification and verify by individual OQ test case (positive testing). Procedural control where user judgement is involved.</v>
      </c>
      <c r="N119" s="16" t="str">
        <f aca="false">IFERROR(INDEX(Lookups!$M$3:$M$5,MATCH(L119,Lookups!$K$3:$K$5,0)),"")</f>
        <v>Individual OQ test case — positive testing</v>
      </c>
      <c r="O119" s="16" t="s">
        <v>100</v>
      </c>
      <c r="P119" s="16" t="str">
        <f aca="false">IFERROR(INDEX(Lookups!$N$3:$N$5,MATCH(L119,Lookups!$K$3:$K$5,0)),"")</f>
        <v>Low</v>
      </c>
      <c r="Q119" s="16"/>
    </row>
    <row r="120" customFormat="false" ht="60" hidden="false" customHeight="true" outlineLevel="0" collapsed="false">
      <c r="A120" s="15" t="s">
        <v>493</v>
      </c>
      <c r="B120" s="15" t="s">
        <v>494</v>
      </c>
      <c r="C120" s="16" t="s">
        <v>484</v>
      </c>
      <c r="D120" s="16" t="s">
        <v>495</v>
      </c>
      <c r="E120" s="15" t="s">
        <v>171</v>
      </c>
      <c r="F120" s="15" t="s">
        <v>98</v>
      </c>
      <c r="G120" s="16" t="s">
        <v>486</v>
      </c>
      <c r="H120" s="15" t="s">
        <v>45</v>
      </c>
      <c r="I120" s="15" t="s">
        <v>45</v>
      </c>
      <c r="J120" s="15" t="s">
        <v>45</v>
      </c>
      <c r="K120" s="15" t="n">
        <f aca="false">IFERROR(INDEX(Lookups!$D$3:$D$11,MATCH(H120&amp;"|"&amp;I120,Lookups!$C$3:$C$11,0)),"")</f>
        <v>2</v>
      </c>
      <c r="L120" s="15" t="str">
        <f aca="false">IFERROR(INDEX(Lookups!$H$3:$H$11,MATCH(K120&amp;"|"&amp;J120,Lookups!$G$3:$G$11,0)),"")</f>
        <v>Medium</v>
      </c>
      <c r="M120" s="16" t="str">
        <f aca="false">IFERROR(INDEX(Lookups!$L$3:$L$5,MATCH(L120,Lookups!$K$3:$K$5,0)),"")</f>
        <v>Specify in the Functional Specification and verify by individual OQ test case (positive testing). Procedural control where user judgement is involved.</v>
      </c>
      <c r="N120" s="16" t="str">
        <f aca="false">IFERROR(INDEX(Lookups!$M$3:$M$5,MATCH(L120,Lookups!$K$3:$K$5,0)),"")</f>
        <v>Individual OQ test case — positive testing</v>
      </c>
      <c r="O120" s="16" t="s">
        <v>496</v>
      </c>
      <c r="P120" s="16" t="str">
        <f aca="false">IFERROR(INDEX(Lookups!$N$3:$N$5,MATCH(L120,Lookups!$K$3:$K$5,0)),"")</f>
        <v>Low</v>
      </c>
      <c r="Q120" s="16"/>
    </row>
    <row r="121" customFormat="false" ht="60" hidden="false" customHeight="true" outlineLevel="0" collapsed="false">
      <c r="A121" s="15" t="s">
        <v>497</v>
      </c>
      <c r="B121" s="15" t="s">
        <v>498</v>
      </c>
      <c r="C121" s="16" t="s">
        <v>484</v>
      </c>
      <c r="D121" s="16" t="s">
        <v>499</v>
      </c>
      <c r="E121" s="15" t="s">
        <v>97</v>
      </c>
      <c r="F121" s="15" t="s">
        <v>98</v>
      </c>
      <c r="G121" s="16" t="s">
        <v>486</v>
      </c>
      <c r="H121" s="15" t="s">
        <v>45</v>
      </c>
      <c r="I121" s="15" t="s">
        <v>47</v>
      </c>
      <c r="J121" s="15" t="s">
        <v>45</v>
      </c>
      <c r="K121" s="15" t="n">
        <f aca="false">IFERROR(INDEX(Lookups!$D$3:$D$11,MATCH(H121&amp;"|"&amp;I121,Lookups!$C$3:$C$11,0)),"")</f>
        <v>1</v>
      </c>
      <c r="L121" s="15" t="str">
        <f aca="false">IFERROR(INDEX(Lookups!$H$3:$H$11,MATCH(K121&amp;"|"&amp;J121,Lookups!$G$3:$G$11,0)),"")</f>
        <v>Low</v>
      </c>
      <c r="M121" s="16" t="str">
        <f aca="false">IFERROR(INDEX(Lookups!$L$3:$L$5,MATCH(L121,Lookups!$K$3:$K$5,0)),"")</f>
        <v>Verify by grouped OQ execution or PQ/UAT scenario. No additional design control required beyond standard development and code review.</v>
      </c>
      <c r="N121" s="16" t="str">
        <f aca="false">IFERROR(INDEX(Lookups!$M$3:$M$5,MATCH(L121,Lookups!$K$3:$K$5,0)),"")</f>
        <v>Grouped OQ / PQ-UAT scenario verification</v>
      </c>
      <c r="O121" s="16" t="s">
        <v>100</v>
      </c>
      <c r="P121" s="16" t="str">
        <f aca="false">IFERROR(INDEX(Lookups!$N$3:$N$5,MATCH(L121,Lookups!$K$3:$K$5,0)),"")</f>
        <v>Low</v>
      </c>
      <c r="Q121" s="16"/>
    </row>
    <row r="122" customFormat="false" ht="60" hidden="false" customHeight="true" outlineLevel="0" collapsed="false">
      <c r="A122" s="15" t="s">
        <v>500</v>
      </c>
      <c r="B122" s="15" t="s">
        <v>501</v>
      </c>
      <c r="C122" s="16" t="s">
        <v>484</v>
      </c>
      <c r="D122" s="16" t="s">
        <v>502</v>
      </c>
      <c r="E122" s="15" t="s">
        <v>97</v>
      </c>
      <c r="F122" s="15" t="s">
        <v>98</v>
      </c>
      <c r="G122" s="16" t="s">
        <v>486</v>
      </c>
      <c r="H122" s="15" t="s">
        <v>45</v>
      </c>
      <c r="I122" s="15" t="s">
        <v>45</v>
      </c>
      <c r="J122" s="15" t="s">
        <v>47</v>
      </c>
      <c r="K122" s="15" t="n">
        <f aca="false">IFERROR(INDEX(Lookups!$D$3:$D$11,MATCH(H122&amp;"|"&amp;I122,Lookups!$C$3:$C$11,0)),"")</f>
        <v>2</v>
      </c>
      <c r="L122" s="15" t="str">
        <f aca="false">IFERROR(INDEX(Lookups!$H$3:$H$11,MATCH(K122&amp;"|"&amp;J122,Lookups!$G$3:$G$11,0)),"")</f>
        <v>High</v>
      </c>
      <c r="M122" s="16" t="str">
        <f aca="false">IFERROR(INDEX(Lookups!$L$3:$L$5,MATCH(L122,Lookups!$K$3:$K$5,0)),"")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122" s="16" t="str">
        <f aca="false">IFERROR(INDEX(Lookups!$M$3:$M$5,MATCH(L122,Lookups!$K$3:$K$5,0)),"")</f>
        <v>Individual OQ test case — positive and negative testing, executed and witnessed</v>
      </c>
      <c r="O122" s="16" t="s">
        <v>100</v>
      </c>
      <c r="P122" s="16" t="str">
        <f aca="false">IFERROR(INDEX(Lookups!$N$3:$N$5,MATCH(L122,Lookups!$K$3:$K$5,0)),"")</f>
        <v>Medium (to be confirmed after test execution)</v>
      </c>
      <c r="Q122" s="16"/>
    </row>
    <row r="123" customFormat="false" ht="60" hidden="false" customHeight="true" outlineLevel="0" collapsed="false">
      <c r="A123" s="15" t="s">
        <v>503</v>
      </c>
      <c r="B123" s="15" t="s">
        <v>504</v>
      </c>
      <c r="C123" s="16" t="s">
        <v>484</v>
      </c>
      <c r="D123" s="16" t="s">
        <v>505</v>
      </c>
      <c r="E123" s="15" t="s">
        <v>97</v>
      </c>
      <c r="F123" s="15" t="s">
        <v>98</v>
      </c>
      <c r="G123" s="16" t="s">
        <v>486</v>
      </c>
      <c r="H123" s="15" t="s">
        <v>45</v>
      </c>
      <c r="I123" s="15" t="s">
        <v>45</v>
      </c>
      <c r="J123" s="15" t="s">
        <v>45</v>
      </c>
      <c r="K123" s="15" t="n">
        <f aca="false">IFERROR(INDEX(Lookups!$D$3:$D$11,MATCH(H123&amp;"|"&amp;I123,Lookups!$C$3:$C$11,0)),"")</f>
        <v>2</v>
      </c>
      <c r="L123" s="15" t="str">
        <f aca="false">IFERROR(INDEX(Lookups!$H$3:$H$11,MATCH(K123&amp;"|"&amp;J123,Lookups!$G$3:$G$11,0)),"")</f>
        <v>Medium</v>
      </c>
      <c r="M123" s="16" t="str">
        <f aca="false">IFERROR(INDEX(Lookups!$L$3:$L$5,MATCH(L123,Lookups!$K$3:$K$5,0)),"")</f>
        <v>Specify in the Functional Specification and verify by individual OQ test case (positive testing). Procedural control where user judgement is involved.</v>
      </c>
      <c r="N123" s="16" t="str">
        <f aca="false">IFERROR(INDEX(Lookups!$M$3:$M$5,MATCH(L123,Lookups!$K$3:$K$5,0)),"")</f>
        <v>Individual OQ test case — positive testing</v>
      </c>
      <c r="O123" s="16" t="s">
        <v>100</v>
      </c>
      <c r="P123" s="16" t="str">
        <f aca="false">IFERROR(INDEX(Lookups!$N$3:$N$5,MATCH(L123,Lookups!$K$3:$K$5,0)),"")</f>
        <v>Low</v>
      </c>
      <c r="Q123" s="16"/>
    </row>
    <row r="124" customFormat="false" ht="60" hidden="false" customHeight="true" outlineLevel="0" collapsed="false">
      <c r="A124" s="15" t="s">
        <v>506</v>
      </c>
      <c r="B124" s="15" t="s">
        <v>507</v>
      </c>
      <c r="C124" s="16" t="s">
        <v>508</v>
      </c>
      <c r="D124" s="16" t="s">
        <v>509</v>
      </c>
      <c r="E124" s="15" t="s">
        <v>97</v>
      </c>
      <c r="F124" s="15" t="s">
        <v>98</v>
      </c>
      <c r="G124" s="16" t="s">
        <v>510</v>
      </c>
      <c r="H124" s="15" t="s">
        <v>43</v>
      </c>
      <c r="I124" s="15" t="s">
        <v>45</v>
      </c>
      <c r="J124" s="15" t="s">
        <v>47</v>
      </c>
      <c r="K124" s="15" t="n">
        <f aca="false">IFERROR(INDEX(Lookups!$D$3:$D$11,MATCH(H124&amp;"|"&amp;I124,Lookups!$C$3:$C$11,0)),"")</f>
        <v>3</v>
      </c>
      <c r="L124" s="15" t="str">
        <f aca="false">IFERROR(INDEX(Lookups!$H$3:$H$11,MATCH(K124&amp;"|"&amp;J124,Lookups!$G$3:$G$11,0)),"")</f>
        <v>High</v>
      </c>
      <c r="M124" s="16" t="str">
        <f aca="false">IFERROR(INDEX(Lookups!$L$3:$L$5,MATCH(L124,Lookups!$K$3:$K$5,0)),"")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124" s="16" t="str">
        <f aca="false">IFERROR(INDEX(Lookups!$M$3:$M$5,MATCH(L124,Lookups!$K$3:$K$5,0)),"")</f>
        <v>Individual OQ test case — positive and negative testing, executed and witnessed</v>
      </c>
      <c r="O124" s="16" t="s">
        <v>100</v>
      </c>
      <c r="P124" s="16" t="str">
        <f aca="false">IFERROR(INDEX(Lookups!$N$3:$N$5,MATCH(L124,Lookups!$K$3:$K$5,0)),"")</f>
        <v>Medium (to be confirmed after test execution)</v>
      </c>
      <c r="Q124" s="16"/>
    </row>
    <row r="125" customFormat="false" ht="60" hidden="false" customHeight="true" outlineLevel="0" collapsed="false">
      <c r="A125" s="15" t="s">
        <v>511</v>
      </c>
      <c r="B125" s="15" t="s">
        <v>512</v>
      </c>
      <c r="C125" s="16" t="s">
        <v>508</v>
      </c>
      <c r="D125" s="16" t="s">
        <v>513</v>
      </c>
      <c r="E125" s="15" t="s">
        <v>97</v>
      </c>
      <c r="F125" s="15" t="s">
        <v>98</v>
      </c>
      <c r="G125" s="16" t="s">
        <v>514</v>
      </c>
      <c r="H125" s="15" t="s">
        <v>45</v>
      </c>
      <c r="I125" s="15" t="s">
        <v>45</v>
      </c>
      <c r="J125" s="15" t="s">
        <v>45</v>
      </c>
      <c r="K125" s="15" t="n">
        <f aca="false">IFERROR(INDEX(Lookups!$D$3:$D$11,MATCH(H125&amp;"|"&amp;I125,Lookups!$C$3:$C$11,0)),"")</f>
        <v>2</v>
      </c>
      <c r="L125" s="15" t="str">
        <f aca="false">IFERROR(INDEX(Lookups!$H$3:$H$11,MATCH(K125&amp;"|"&amp;J125,Lookups!$G$3:$G$11,0)),"")</f>
        <v>Medium</v>
      </c>
      <c r="M125" s="16" t="str">
        <f aca="false">IFERROR(INDEX(Lookups!$L$3:$L$5,MATCH(L125,Lookups!$K$3:$K$5,0)),"")</f>
        <v>Specify in the Functional Specification and verify by individual OQ test case (positive testing). Procedural control where user judgement is involved.</v>
      </c>
      <c r="N125" s="16" t="str">
        <f aca="false">IFERROR(INDEX(Lookups!$M$3:$M$5,MATCH(L125,Lookups!$K$3:$K$5,0)),"")</f>
        <v>Individual OQ test case — positive testing</v>
      </c>
      <c r="O125" s="16" t="s">
        <v>100</v>
      </c>
      <c r="P125" s="16" t="str">
        <f aca="false">IFERROR(INDEX(Lookups!$N$3:$N$5,MATCH(L125,Lookups!$K$3:$K$5,0)),"")</f>
        <v>Low</v>
      </c>
      <c r="Q125" s="16"/>
    </row>
    <row r="126" customFormat="false" ht="60" hidden="false" customHeight="true" outlineLevel="0" collapsed="false">
      <c r="A126" s="15" t="s">
        <v>515</v>
      </c>
      <c r="B126" s="15" t="s">
        <v>516</v>
      </c>
      <c r="C126" s="16" t="s">
        <v>508</v>
      </c>
      <c r="D126" s="16" t="s">
        <v>517</v>
      </c>
      <c r="E126" s="15" t="s">
        <v>97</v>
      </c>
      <c r="F126" s="15" t="s">
        <v>98</v>
      </c>
      <c r="G126" s="16" t="s">
        <v>514</v>
      </c>
      <c r="H126" s="15" t="s">
        <v>45</v>
      </c>
      <c r="I126" s="15" t="s">
        <v>45</v>
      </c>
      <c r="J126" s="15" t="s">
        <v>45</v>
      </c>
      <c r="K126" s="15" t="n">
        <f aca="false">IFERROR(INDEX(Lookups!$D$3:$D$11,MATCH(H126&amp;"|"&amp;I126,Lookups!$C$3:$C$11,0)),"")</f>
        <v>2</v>
      </c>
      <c r="L126" s="15" t="str">
        <f aca="false">IFERROR(INDEX(Lookups!$H$3:$H$11,MATCH(K126&amp;"|"&amp;J126,Lookups!$G$3:$G$11,0)),"")</f>
        <v>Medium</v>
      </c>
      <c r="M126" s="16" t="str">
        <f aca="false">IFERROR(INDEX(Lookups!$L$3:$L$5,MATCH(L126,Lookups!$K$3:$K$5,0)),"")</f>
        <v>Specify in the Functional Specification and verify by individual OQ test case (positive testing). Procedural control where user judgement is involved.</v>
      </c>
      <c r="N126" s="16" t="str">
        <f aca="false">IFERROR(INDEX(Lookups!$M$3:$M$5,MATCH(L126,Lookups!$K$3:$K$5,0)),"")</f>
        <v>Individual OQ test case — positive testing</v>
      </c>
      <c r="O126" s="16" t="s">
        <v>100</v>
      </c>
      <c r="P126" s="16" t="str">
        <f aca="false">IFERROR(INDEX(Lookups!$N$3:$N$5,MATCH(L126,Lookups!$K$3:$K$5,0)),"")</f>
        <v>Low</v>
      </c>
      <c r="Q126" s="16"/>
    </row>
    <row r="127" customFormat="false" ht="60" hidden="false" customHeight="true" outlineLevel="0" collapsed="false">
      <c r="A127" s="15" t="s">
        <v>518</v>
      </c>
      <c r="B127" s="15" t="s">
        <v>519</v>
      </c>
      <c r="C127" s="16" t="s">
        <v>508</v>
      </c>
      <c r="D127" s="16" t="s">
        <v>520</v>
      </c>
      <c r="E127" s="15" t="s">
        <v>97</v>
      </c>
      <c r="F127" s="15" t="s">
        <v>98</v>
      </c>
      <c r="G127" s="16" t="s">
        <v>514</v>
      </c>
      <c r="H127" s="15" t="s">
        <v>43</v>
      </c>
      <c r="I127" s="15" t="s">
        <v>45</v>
      </c>
      <c r="J127" s="15" t="s">
        <v>47</v>
      </c>
      <c r="K127" s="15" t="n">
        <f aca="false">IFERROR(INDEX(Lookups!$D$3:$D$11,MATCH(H127&amp;"|"&amp;I127,Lookups!$C$3:$C$11,0)),"")</f>
        <v>3</v>
      </c>
      <c r="L127" s="15" t="str">
        <f aca="false">IFERROR(INDEX(Lookups!$H$3:$H$11,MATCH(K127&amp;"|"&amp;J127,Lookups!$G$3:$G$11,0)),"")</f>
        <v>High</v>
      </c>
      <c r="M127" s="16" t="str">
        <f aca="false">IFERROR(INDEX(Lookups!$L$3:$L$5,MATCH(L127,Lookups!$K$3:$K$5,0)),"")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127" s="16" t="str">
        <f aca="false">IFERROR(INDEX(Lookups!$M$3:$M$5,MATCH(L127,Lookups!$K$3:$K$5,0)),"")</f>
        <v>Individual OQ test case — positive and negative testing, executed and witnessed</v>
      </c>
      <c r="O127" s="16" t="s">
        <v>100</v>
      </c>
      <c r="P127" s="16" t="str">
        <f aca="false">IFERROR(INDEX(Lookups!$N$3:$N$5,MATCH(L127,Lookups!$K$3:$K$5,0)),"")</f>
        <v>Medium (to be confirmed after test execution)</v>
      </c>
      <c r="Q127" s="16"/>
    </row>
    <row r="128" customFormat="false" ht="60" hidden="false" customHeight="true" outlineLevel="0" collapsed="false">
      <c r="A128" s="15" t="s">
        <v>521</v>
      </c>
      <c r="B128" s="15" t="s">
        <v>522</v>
      </c>
      <c r="C128" s="16" t="s">
        <v>508</v>
      </c>
      <c r="D128" s="16" t="s">
        <v>523</v>
      </c>
      <c r="E128" s="15" t="s">
        <v>97</v>
      </c>
      <c r="F128" s="15" t="s">
        <v>98</v>
      </c>
      <c r="G128" s="16" t="s">
        <v>514</v>
      </c>
      <c r="H128" s="15" t="s">
        <v>45</v>
      </c>
      <c r="I128" s="15" t="s">
        <v>45</v>
      </c>
      <c r="J128" s="15" t="s">
        <v>45</v>
      </c>
      <c r="K128" s="15" t="n">
        <f aca="false">IFERROR(INDEX(Lookups!$D$3:$D$11,MATCH(H128&amp;"|"&amp;I128,Lookups!$C$3:$C$11,0)),"")</f>
        <v>2</v>
      </c>
      <c r="L128" s="15" t="str">
        <f aca="false">IFERROR(INDEX(Lookups!$H$3:$H$11,MATCH(K128&amp;"|"&amp;J128,Lookups!$G$3:$G$11,0)),"")</f>
        <v>Medium</v>
      </c>
      <c r="M128" s="16" t="str">
        <f aca="false">IFERROR(INDEX(Lookups!$L$3:$L$5,MATCH(L128,Lookups!$K$3:$K$5,0)),"")</f>
        <v>Specify in the Functional Specification and verify by individual OQ test case (positive testing). Procedural control where user judgement is involved.</v>
      </c>
      <c r="N128" s="16" t="str">
        <f aca="false">IFERROR(INDEX(Lookups!$M$3:$M$5,MATCH(L128,Lookups!$K$3:$K$5,0)),"")</f>
        <v>Individual OQ test case — positive testing</v>
      </c>
      <c r="O128" s="16" t="s">
        <v>100</v>
      </c>
      <c r="P128" s="16" t="str">
        <f aca="false">IFERROR(INDEX(Lookups!$N$3:$N$5,MATCH(L128,Lookups!$K$3:$K$5,0)),"")</f>
        <v>Low</v>
      </c>
      <c r="Q128" s="16"/>
    </row>
    <row r="129" customFormat="false" ht="60" hidden="false" customHeight="true" outlineLevel="0" collapsed="false">
      <c r="A129" s="15" t="s">
        <v>524</v>
      </c>
      <c r="B129" s="15" t="s">
        <v>525</v>
      </c>
      <c r="C129" s="16" t="s">
        <v>508</v>
      </c>
      <c r="D129" s="16" t="s">
        <v>526</v>
      </c>
      <c r="E129" s="15" t="s">
        <v>97</v>
      </c>
      <c r="F129" s="15" t="s">
        <v>98</v>
      </c>
      <c r="G129" s="16" t="s">
        <v>514</v>
      </c>
      <c r="H129" s="15" t="s">
        <v>43</v>
      </c>
      <c r="I129" s="15" t="s">
        <v>45</v>
      </c>
      <c r="J129" s="15" t="s">
        <v>45</v>
      </c>
      <c r="K129" s="15" t="n">
        <f aca="false">IFERROR(INDEX(Lookups!$D$3:$D$11,MATCH(H129&amp;"|"&amp;I129,Lookups!$C$3:$C$11,0)),"")</f>
        <v>3</v>
      </c>
      <c r="L129" s="15" t="str">
        <f aca="false">IFERROR(INDEX(Lookups!$H$3:$H$11,MATCH(K129&amp;"|"&amp;J129,Lookups!$G$3:$G$11,0)),"")</f>
        <v>High</v>
      </c>
      <c r="M129" s="16" t="str">
        <f aca="false">IFERROR(INDEX(Lookups!$L$3:$L$5,MATCH(L129,Lookups!$K$3:$K$5,0)),"")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129" s="16" t="str">
        <f aca="false">IFERROR(INDEX(Lookups!$M$3:$M$5,MATCH(L129,Lookups!$K$3:$K$5,0)),"")</f>
        <v>Individual OQ test case — positive and negative testing, executed and witnessed</v>
      </c>
      <c r="O129" s="16" t="s">
        <v>100</v>
      </c>
      <c r="P129" s="16" t="str">
        <f aca="false">IFERROR(INDEX(Lookups!$N$3:$N$5,MATCH(L129,Lookups!$K$3:$K$5,0)),"")</f>
        <v>Medium (to be confirmed after test execution)</v>
      </c>
      <c r="Q129" s="16"/>
    </row>
    <row r="130" customFormat="false" ht="60" hidden="false" customHeight="true" outlineLevel="0" collapsed="false">
      <c r="A130" s="15" t="s">
        <v>527</v>
      </c>
      <c r="B130" s="15" t="s">
        <v>528</v>
      </c>
      <c r="C130" s="16" t="s">
        <v>508</v>
      </c>
      <c r="D130" s="16" t="s">
        <v>529</v>
      </c>
      <c r="E130" s="15" t="s">
        <v>97</v>
      </c>
      <c r="F130" s="15" t="s">
        <v>98</v>
      </c>
      <c r="G130" s="16" t="s">
        <v>514</v>
      </c>
      <c r="H130" s="15" t="s">
        <v>43</v>
      </c>
      <c r="I130" s="15" t="s">
        <v>45</v>
      </c>
      <c r="J130" s="15" t="s">
        <v>47</v>
      </c>
      <c r="K130" s="15" t="n">
        <f aca="false">IFERROR(INDEX(Lookups!$D$3:$D$11,MATCH(H130&amp;"|"&amp;I130,Lookups!$C$3:$C$11,0)),"")</f>
        <v>3</v>
      </c>
      <c r="L130" s="15" t="str">
        <f aca="false">IFERROR(INDEX(Lookups!$H$3:$H$11,MATCH(K130&amp;"|"&amp;J130,Lookups!$G$3:$G$11,0)),"")</f>
        <v>High</v>
      </c>
      <c r="M130" s="16" t="str">
        <f aca="false">IFERROR(INDEX(Lookups!$L$3:$L$5,MATCH(L130,Lookups!$K$3:$K$5,0)),"")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130" s="16" t="str">
        <f aca="false">IFERROR(INDEX(Lookups!$M$3:$M$5,MATCH(L130,Lookups!$K$3:$K$5,0)),"")</f>
        <v>Individual OQ test case — positive and negative testing, executed and witnessed</v>
      </c>
      <c r="O130" s="16" t="s">
        <v>100</v>
      </c>
      <c r="P130" s="16" t="str">
        <f aca="false">IFERROR(INDEX(Lookups!$N$3:$N$5,MATCH(L130,Lookups!$K$3:$K$5,0)),"")</f>
        <v>Medium (to be confirmed after test execution)</v>
      </c>
      <c r="Q130" s="16"/>
    </row>
    <row r="131" customFormat="false" ht="60" hidden="false" customHeight="true" outlineLevel="0" collapsed="false">
      <c r="A131" s="15" t="s">
        <v>530</v>
      </c>
      <c r="B131" s="15" t="s">
        <v>531</v>
      </c>
      <c r="C131" s="16" t="s">
        <v>508</v>
      </c>
      <c r="D131" s="16" t="s">
        <v>532</v>
      </c>
      <c r="E131" s="15" t="s">
        <v>97</v>
      </c>
      <c r="F131" s="15" t="s">
        <v>98</v>
      </c>
      <c r="G131" s="16" t="s">
        <v>514</v>
      </c>
      <c r="H131" s="15" t="s">
        <v>45</v>
      </c>
      <c r="I131" s="15" t="s">
        <v>47</v>
      </c>
      <c r="J131" s="15" t="s">
        <v>45</v>
      </c>
      <c r="K131" s="15" t="n">
        <f aca="false">IFERROR(INDEX(Lookups!$D$3:$D$11,MATCH(H131&amp;"|"&amp;I131,Lookups!$C$3:$C$11,0)),"")</f>
        <v>1</v>
      </c>
      <c r="L131" s="15" t="str">
        <f aca="false">IFERROR(INDEX(Lookups!$H$3:$H$11,MATCH(K131&amp;"|"&amp;J131,Lookups!$G$3:$G$11,0)),"")</f>
        <v>Low</v>
      </c>
      <c r="M131" s="16" t="str">
        <f aca="false">IFERROR(INDEX(Lookups!$L$3:$L$5,MATCH(L131,Lookups!$K$3:$K$5,0)),"")</f>
        <v>Verify by grouped OQ execution or PQ/UAT scenario. No additional design control required beyond standard development and code review.</v>
      </c>
      <c r="N131" s="16" t="str">
        <f aca="false">IFERROR(INDEX(Lookups!$M$3:$M$5,MATCH(L131,Lookups!$K$3:$K$5,0)),"")</f>
        <v>Grouped OQ / PQ-UAT scenario verification</v>
      </c>
      <c r="O131" s="16" t="s">
        <v>100</v>
      </c>
      <c r="P131" s="16" t="str">
        <f aca="false">IFERROR(INDEX(Lookups!$N$3:$N$5,MATCH(L131,Lookups!$K$3:$K$5,0)),"")</f>
        <v>Low</v>
      </c>
      <c r="Q131" s="16"/>
    </row>
    <row r="132" customFormat="false" ht="60" hidden="false" customHeight="true" outlineLevel="0" collapsed="false">
      <c r="A132" s="15" t="s">
        <v>533</v>
      </c>
      <c r="B132" s="15" t="s">
        <v>534</v>
      </c>
      <c r="C132" s="16" t="s">
        <v>508</v>
      </c>
      <c r="D132" s="16" t="s">
        <v>535</v>
      </c>
      <c r="E132" s="15" t="s">
        <v>97</v>
      </c>
      <c r="F132" s="15" t="s">
        <v>98</v>
      </c>
      <c r="G132" s="16" t="s">
        <v>536</v>
      </c>
      <c r="H132" s="15" t="s">
        <v>43</v>
      </c>
      <c r="I132" s="15" t="s">
        <v>47</v>
      </c>
      <c r="J132" s="15" t="s">
        <v>47</v>
      </c>
      <c r="K132" s="15" t="n">
        <f aca="false">IFERROR(INDEX(Lookups!$D$3:$D$11,MATCH(H132&amp;"|"&amp;I132,Lookups!$C$3:$C$11,0)),"")</f>
        <v>2</v>
      </c>
      <c r="L132" s="15" t="str">
        <f aca="false">IFERROR(INDEX(Lookups!$H$3:$H$11,MATCH(K132&amp;"|"&amp;J132,Lookups!$G$3:$G$11,0)),"")</f>
        <v>High</v>
      </c>
      <c r="M132" s="16" t="str">
        <f aca="false">IFERROR(INDEX(Lookups!$L$3:$L$5,MATCH(L132,Lookups!$K$3:$K$5,0)),"")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132" s="16" t="str">
        <f aca="false">IFERROR(INDEX(Lookups!$M$3:$M$5,MATCH(L132,Lookups!$K$3:$K$5,0)),"")</f>
        <v>Individual OQ test case — positive and negative testing, executed and witnessed</v>
      </c>
      <c r="O132" s="16" t="s">
        <v>100</v>
      </c>
      <c r="P132" s="16" t="str">
        <f aca="false">IFERROR(INDEX(Lookups!$N$3:$N$5,MATCH(L132,Lookups!$K$3:$K$5,0)),"")</f>
        <v>Medium (to be confirmed after test execution)</v>
      </c>
      <c r="Q132" s="16"/>
    </row>
    <row r="133" customFormat="false" ht="60" hidden="false" customHeight="true" outlineLevel="0" collapsed="false">
      <c r="A133" s="15" t="s">
        <v>537</v>
      </c>
      <c r="B133" s="15" t="s">
        <v>538</v>
      </c>
      <c r="C133" s="16" t="s">
        <v>508</v>
      </c>
      <c r="D133" s="16" t="s">
        <v>539</v>
      </c>
      <c r="E133" s="15" t="s">
        <v>97</v>
      </c>
      <c r="F133" s="15" t="s">
        <v>98</v>
      </c>
      <c r="G133" s="16" t="s">
        <v>540</v>
      </c>
      <c r="H133" s="15" t="s">
        <v>43</v>
      </c>
      <c r="I133" s="15" t="s">
        <v>47</v>
      </c>
      <c r="J133" s="15" t="s">
        <v>47</v>
      </c>
      <c r="K133" s="15" t="n">
        <f aca="false">IFERROR(INDEX(Lookups!$D$3:$D$11,MATCH(H133&amp;"|"&amp;I133,Lookups!$C$3:$C$11,0)),"")</f>
        <v>2</v>
      </c>
      <c r="L133" s="15" t="str">
        <f aca="false">IFERROR(INDEX(Lookups!$H$3:$H$11,MATCH(K133&amp;"|"&amp;J133,Lookups!$G$3:$G$11,0)),"")</f>
        <v>High</v>
      </c>
      <c r="M133" s="16" t="str">
        <f aca="false">IFERROR(INDEX(Lookups!$L$3:$L$5,MATCH(L133,Lookups!$K$3:$K$5,0)),"")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133" s="16" t="str">
        <f aca="false">IFERROR(INDEX(Lookups!$M$3:$M$5,MATCH(L133,Lookups!$K$3:$K$5,0)),"")</f>
        <v>Individual OQ test case — positive and negative testing, executed and witnessed</v>
      </c>
      <c r="O133" s="16" t="s">
        <v>100</v>
      </c>
      <c r="P133" s="16" t="str">
        <f aca="false">IFERROR(INDEX(Lookups!$N$3:$N$5,MATCH(L133,Lookups!$K$3:$K$5,0)),"")</f>
        <v>Medium (to be confirmed after test execution)</v>
      </c>
      <c r="Q133" s="16"/>
    </row>
    <row r="134" customFormat="false" ht="60" hidden="false" customHeight="true" outlineLevel="0" collapsed="false">
      <c r="A134" s="15" t="s">
        <v>541</v>
      </c>
      <c r="B134" s="15" t="s">
        <v>542</v>
      </c>
      <c r="C134" s="16" t="s">
        <v>543</v>
      </c>
      <c r="D134" s="16" t="s">
        <v>544</v>
      </c>
      <c r="E134" s="15" t="s">
        <v>97</v>
      </c>
      <c r="F134" s="15" t="s">
        <v>98</v>
      </c>
      <c r="G134" s="16" t="s">
        <v>545</v>
      </c>
      <c r="H134" s="15" t="s">
        <v>45</v>
      </c>
      <c r="I134" s="15" t="s">
        <v>45</v>
      </c>
      <c r="J134" s="15" t="s">
        <v>45</v>
      </c>
      <c r="K134" s="15" t="n">
        <f aca="false">IFERROR(INDEX(Lookups!$D$3:$D$11,MATCH(H134&amp;"|"&amp;I134,Lookups!$C$3:$C$11,0)),"")</f>
        <v>2</v>
      </c>
      <c r="L134" s="15" t="str">
        <f aca="false">IFERROR(INDEX(Lookups!$H$3:$H$11,MATCH(K134&amp;"|"&amp;J134,Lookups!$G$3:$G$11,0)),"")</f>
        <v>Medium</v>
      </c>
      <c r="M134" s="16" t="str">
        <f aca="false">IFERROR(INDEX(Lookups!$L$3:$L$5,MATCH(L134,Lookups!$K$3:$K$5,0)),"")</f>
        <v>Specify in the Functional Specification and verify by individual OQ test case (positive testing). Procedural control where user judgement is involved.</v>
      </c>
      <c r="N134" s="16" t="str">
        <f aca="false">IFERROR(INDEX(Lookups!$M$3:$M$5,MATCH(L134,Lookups!$K$3:$K$5,0)),"")</f>
        <v>Individual OQ test case — positive testing</v>
      </c>
      <c r="O134" s="16" t="s">
        <v>100</v>
      </c>
      <c r="P134" s="16" t="str">
        <f aca="false">IFERROR(INDEX(Lookups!$N$3:$N$5,MATCH(L134,Lookups!$K$3:$K$5,0)),"")</f>
        <v>Low</v>
      </c>
      <c r="Q134" s="16"/>
    </row>
    <row r="135" customFormat="false" ht="60" hidden="false" customHeight="true" outlineLevel="0" collapsed="false">
      <c r="A135" s="15" t="s">
        <v>546</v>
      </c>
      <c r="B135" s="15" t="s">
        <v>547</v>
      </c>
      <c r="C135" s="16" t="s">
        <v>543</v>
      </c>
      <c r="D135" s="16" t="s">
        <v>548</v>
      </c>
      <c r="E135" s="15" t="s">
        <v>97</v>
      </c>
      <c r="F135" s="15" t="s">
        <v>98</v>
      </c>
      <c r="G135" s="16" t="s">
        <v>545</v>
      </c>
      <c r="H135" s="15" t="s">
        <v>45</v>
      </c>
      <c r="I135" s="15" t="s">
        <v>45</v>
      </c>
      <c r="J135" s="15" t="s">
        <v>45</v>
      </c>
      <c r="K135" s="15" t="n">
        <f aca="false">IFERROR(INDEX(Lookups!$D$3:$D$11,MATCH(H135&amp;"|"&amp;I135,Lookups!$C$3:$C$11,0)),"")</f>
        <v>2</v>
      </c>
      <c r="L135" s="15" t="str">
        <f aca="false">IFERROR(INDEX(Lookups!$H$3:$H$11,MATCH(K135&amp;"|"&amp;J135,Lookups!$G$3:$G$11,0)),"")</f>
        <v>Medium</v>
      </c>
      <c r="M135" s="16" t="str">
        <f aca="false">IFERROR(INDEX(Lookups!$L$3:$L$5,MATCH(L135,Lookups!$K$3:$K$5,0)),"")</f>
        <v>Specify in the Functional Specification and verify by individual OQ test case (positive testing). Procedural control where user judgement is involved.</v>
      </c>
      <c r="N135" s="16" t="str">
        <f aca="false">IFERROR(INDEX(Lookups!$M$3:$M$5,MATCH(L135,Lookups!$K$3:$K$5,0)),"")</f>
        <v>Individual OQ test case — positive testing</v>
      </c>
      <c r="O135" s="16" t="s">
        <v>100</v>
      </c>
      <c r="P135" s="16" t="str">
        <f aca="false">IFERROR(INDEX(Lookups!$N$3:$N$5,MATCH(L135,Lookups!$K$3:$K$5,0)),"")</f>
        <v>Low</v>
      </c>
      <c r="Q135" s="16"/>
    </row>
    <row r="136" customFormat="false" ht="60" hidden="false" customHeight="true" outlineLevel="0" collapsed="false">
      <c r="A136" s="15" t="s">
        <v>549</v>
      </c>
      <c r="B136" s="15" t="s">
        <v>550</v>
      </c>
      <c r="C136" s="16" t="s">
        <v>543</v>
      </c>
      <c r="D136" s="16" t="s">
        <v>551</v>
      </c>
      <c r="E136" s="15" t="s">
        <v>97</v>
      </c>
      <c r="F136" s="15" t="s">
        <v>98</v>
      </c>
      <c r="G136" s="16" t="s">
        <v>545</v>
      </c>
      <c r="H136" s="15" t="s">
        <v>45</v>
      </c>
      <c r="I136" s="15" t="s">
        <v>45</v>
      </c>
      <c r="J136" s="15" t="s">
        <v>45</v>
      </c>
      <c r="K136" s="15" t="n">
        <f aca="false">IFERROR(INDEX(Lookups!$D$3:$D$11,MATCH(H136&amp;"|"&amp;I136,Lookups!$C$3:$C$11,0)),"")</f>
        <v>2</v>
      </c>
      <c r="L136" s="15" t="str">
        <f aca="false">IFERROR(INDEX(Lookups!$H$3:$H$11,MATCH(K136&amp;"|"&amp;J136,Lookups!$G$3:$G$11,0)),"")</f>
        <v>Medium</v>
      </c>
      <c r="M136" s="16" t="str">
        <f aca="false">IFERROR(INDEX(Lookups!$L$3:$L$5,MATCH(L136,Lookups!$K$3:$K$5,0)),"")</f>
        <v>Specify in the Functional Specification and verify by individual OQ test case (positive testing). Procedural control where user judgement is involved.</v>
      </c>
      <c r="N136" s="16" t="str">
        <f aca="false">IFERROR(INDEX(Lookups!$M$3:$M$5,MATCH(L136,Lookups!$K$3:$K$5,0)),"")</f>
        <v>Individual OQ test case — positive testing</v>
      </c>
      <c r="O136" s="16" t="s">
        <v>100</v>
      </c>
      <c r="P136" s="16" t="str">
        <f aca="false">IFERROR(INDEX(Lookups!$N$3:$N$5,MATCH(L136,Lookups!$K$3:$K$5,0)),"")</f>
        <v>Low</v>
      </c>
      <c r="Q136" s="16"/>
    </row>
    <row r="137" customFormat="false" ht="60" hidden="false" customHeight="true" outlineLevel="0" collapsed="false">
      <c r="A137" s="15" t="s">
        <v>552</v>
      </c>
      <c r="B137" s="15" t="s">
        <v>553</v>
      </c>
      <c r="C137" s="16" t="s">
        <v>543</v>
      </c>
      <c r="D137" s="16" t="s">
        <v>554</v>
      </c>
      <c r="E137" s="15" t="s">
        <v>97</v>
      </c>
      <c r="F137" s="15" t="s">
        <v>98</v>
      </c>
      <c r="G137" s="16" t="s">
        <v>545</v>
      </c>
      <c r="H137" s="15" t="s">
        <v>45</v>
      </c>
      <c r="I137" s="15" t="s">
        <v>45</v>
      </c>
      <c r="J137" s="15" t="s">
        <v>45</v>
      </c>
      <c r="K137" s="15" t="n">
        <f aca="false">IFERROR(INDEX(Lookups!$D$3:$D$11,MATCH(H137&amp;"|"&amp;I137,Lookups!$C$3:$C$11,0)),"")</f>
        <v>2</v>
      </c>
      <c r="L137" s="15" t="str">
        <f aca="false">IFERROR(INDEX(Lookups!$H$3:$H$11,MATCH(K137&amp;"|"&amp;J137,Lookups!$G$3:$G$11,0)),"")</f>
        <v>Medium</v>
      </c>
      <c r="M137" s="16" t="str">
        <f aca="false">IFERROR(INDEX(Lookups!$L$3:$L$5,MATCH(L137,Lookups!$K$3:$K$5,0)),"")</f>
        <v>Specify in the Functional Specification and verify by individual OQ test case (positive testing). Procedural control where user judgement is involved.</v>
      </c>
      <c r="N137" s="16" t="str">
        <f aca="false">IFERROR(INDEX(Lookups!$M$3:$M$5,MATCH(L137,Lookups!$K$3:$K$5,0)),"")</f>
        <v>Individual OQ test case — positive testing</v>
      </c>
      <c r="O137" s="16" t="s">
        <v>100</v>
      </c>
      <c r="P137" s="16" t="str">
        <f aca="false">IFERROR(INDEX(Lookups!$N$3:$N$5,MATCH(L137,Lookups!$K$3:$K$5,0)),"")</f>
        <v>Low</v>
      </c>
      <c r="Q137" s="16"/>
    </row>
    <row r="138" customFormat="false" ht="60" hidden="false" customHeight="true" outlineLevel="0" collapsed="false">
      <c r="A138" s="15" t="s">
        <v>555</v>
      </c>
      <c r="B138" s="15" t="s">
        <v>556</v>
      </c>
      <c r="C138" s="16" t="s">
        <v>543</v>
      </c>
      <c r="D138" s="16" t="s">
        <v>557</v>
      </c>
      <c r="E138" s="15" t="s">
        <v>97</v>
      </c>
      <c r="F138" s="15" t="s">
        <v>98</v>
      </c>
      <c r="G138" s="16" t="s">
        <v>545</v>
      </c>
      <c r="H138" s="15" t="s">
        <v>45</v>
      </c>
      <c r="I138" s="15" t="s">
        <v>43</v>
      </c>
      <c r="J138" s="15" t="s">
        <v>47</v>
      </c>
      <c r="K138" s="15" t="n">
        <f aca="false">IFERROR(INDEX(Lookups!$D$3:$D$11,MATCH(H138&amp;"|"&amp;I138,Lookups!$C$3:$C$11,0)),"")</f>
        <v>3</v>
      </c>
      <c r="L138" s="15" t="str">
        <f aca="false">IFERROR(INDEX(Lookups!$H$3:$H$11,MATCH(K138&amp;"|"&amp;J138,Lookups!$G$3:$G$11,0)),"")</f>
        <v>High</v>
      </c>
      <c r="M138" s="16" t="str">
        <f aca="false">IFERROR(INDEX(Lookups!$L$3:$L$5,MATCH(L138,Lookups!$K$3:$K$5,0)),"")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138" s="16" t="str">
        <f aca="false">IFERROR(INDEX(Lookups!$M$3:$M$5,MATCH(L138,Lookups!$K$3:$K$5,0)),"")</f>
        <v>Individual OQ test case — positive and negative testing, executed and witnessed</v>
      </c>
      <c r="O138" s="16" t="s">
        <v>100</v>
      </c>
      <c r="P138" s="16" t="str">
        <f aca="false">IFERROR(INDEX(Lookups!$N$3:$N$5,MATCH(L138,Lookups!$K$3:$K$5,0)),"")</f>
        <v>Medium (to be confirmed after test execution)</v>
      </c>
      <c r="Q138" s="16"/>
    </row>
    <row r="139" customFormat="false" ht="60" hidden="false" customHeight="true" outlineLevel="0" collapsed="false">
      <c r="A139" s="15" t="s">
        <v>558</v>
      </c>
      <c r="B139" s="15" t="s">
        <v>559</v>
      </c>
      <c r="C139" s="16" t="s">
        <v>543</v>
      </c>
      <c r="D139" s="16" t="s">
        <v>560</v>
      </c>
      <c r="E139" s="15" t="s">
        <v>97</v>
      </c>
      <c r="F139" s="15" t="s">
        <v>98</v>
      </c>
      <c r="G139" s="16" t="s">
        <v>545</v>
      </c>
      <c r="H139" s="15" t="s">
        <v>45</v>
      </c>
      <c r="I139" s="15" t="s">
        <v>45</v>
      </c>
      <c r="J139" s="15" t="s">
        <v>45</v>
      </c>
      <c r="K139" s="15" t="n">
        <f aca="false">IFERROR(INDEX(Lookups!$D$3:$D$11,MATCH(H139&amp;"|"&amp;I139,Lookups!$C$3:$C$11,0)),"")</f>
        <v>2</v>
      </c>
      <c r="L139" s="15" t="str">
        <f aca="false">IFERROR(INDEX(Lookups!$H$3:$H$11,MATCH(K139&amp;"|"&amp;J139,Lookups!$G$3:$G$11,0)),"")</f>
        <v>Medium</v>
      </c>
      <c r="M139" s="16" t="str">
        <f aca="false">IFERROR(INDEX(Lookups!$L$3:$L$5,MATCH(L139,Lookups!$K$3:$K$5,0)),"")</f>
        <v>Specify in the Functional Specification and verify by individual OQ test case (positive testing). Procedural control where user judgement is involved.</v>
      </c>
      <c r="N139" s="16" t="str">
        <f aca="false">IFERROR(INDEX(Lookups!$M$3:$M$5,MATCH(L139,Lookups!$K$3:$K$5,0)),"")</f>
        <v>Individual OQ test case — positive testing</v>
      </c>
      <c r="O139" s="16" t="s">
        <v>100</v>
      </c>
      <c r="P139" s="16" t="str">
        <f aca="false">IFERROR(INDEX(Lookups!$N$3:$N$5,MATCH(L139,Lookups!$K$3:$K$5,0)),"")</f>
        <v>Low</v>
      </c>
      <c r="Q139" s="16"/>
    </row>
    <row r="140" customFormat="false" ht="60" hidden="false" customHeight="true" outlineLevel="0" collapsed="false">
      <c r="A140" s="15" t="s">
        <v>561</v>
      </c>
      <c r="B140" s="15" t="s">
        <v>562</v>
      </c>
      <c r="C140" s="16" t="s">
        <v>543</v>
      </c>
      <c r="D140" s="16" t="s">
        <v>563</v>
      </c>
      <c r="E140" s="15" t="s">
        <v>97</v>
      </c>
      <c r="F140" s="15" t="s">
        <v>98</v>
      </c>
      <c r="G140" s="16" t="s">
        <v>545</v>
      </c>
      <c r="H140" s="15" t="s">
        <v>45</v>
      </c>
      <c r="I140" s="15" t="s">
        <v>45</v>
      </c>
      <c r="J140" s="15" t="s">
        <v>45</v>
      </c>
      <c r="K140" s="15" t="n">
        <f aca="false">IFERROR(INDEX(Lookups!$D$3:$D$11,MATCH(H140&amp;"|"&amp;I140,Lookups!$C$3:$C$11,0)),"")</f>
        <v>2</v>
      </c>
      <c r="L140" s="15" t="str">
        <f aca="false">IFERROR(INDEX(Lookups!$H$3:$H$11,MATCH(K140&amp;"|"&amp;J140,Lookups!$G$3:$G$11,0)),"")</f>
        <v>Medium</v>
      </c>
      <c r="M140" s="16" t="str">
        <f aca="false">IFERROR(INDEX(Lookups!$L$3:$L$5,MATCH(L140,Lookups!$K$3:$K$5,0)),"")</f>
        <v>Specify in the Functional Specification and verify by individual OQ test case (positive testing). Procedural control where user judgement is involved.</v>
      </c>
      <c r="N140" s="16" t="str">
        <f aca="false">IFERROR(INDEX(Lookups!$M$3:$M$5,MATCH(L140,Lookups!$K$3:$K$5,0)),"")</f>
        <v>Individual OQ test case — positive testing</v>
      </c>
      <c r="O140" s="16" t="s">
        <v>100</v>
      </c>
      <c r="P140" s="16" t="str">
        <f aca="false">IFERROR(INDEX(Lookups!$N$3:$N$5,MATCH(L140,Lookups!$K$3:$K$5,0)),"")</f>
        <v>Low</v>
      </c>
      <c r="Q140" s="16"/>
    </row>
    <row r="141" customFormat="false" ht="60" hidden="false" customHeight="true" outlineLevel="0" collapsed="false">
      <c r="A141" s="15" t="s">
        <v>564</v>
      </c>
      <c r="B141" s="15" t="s">
        <v>565</v>
      </c>
      <c r="C141" s="16" t="s">
        <v>543</v>
      </c>
      <c r="D141" s="16" t="s">
        <v>566</v>
      </c>
      <c r="E141" s="15" t="s">
        <v>97</v>
      </c>
      <c r="F141" s="15" t="s">
        <v>98</v>
      </c>
      <c r="G141" s="16" t="s">
        <v>545</v>
      </c>
      <c r="H141" s="15" t="s">
        <v>45</v>
      </c>
      <c r="I141" s="15" t="s">
        <v>45</v>
      </c>
      <c r="J141" s="15" t="s">
        <v>45</v>
      </c>
      <c r="K141" s="15" t="n">
        <f aca="false">IFERROR(INDEX(Lookups!$D$3:$D$11,MATCH(H141&amp;"|"&amp;I141,Lookups!$C$3:$C$11,0)),"")</f>
        <v>2</v>
      </c>
      <c r="L141" s="15" t="str">
        <f aca="false">IFERROR(INDEX(Lookups!$H$3:$H$11,MATCH(K141&amp;"|"&amp;J141,Lookups!$G$3:$G$11,0)),"")</f>
        <v>Medium</v>
      </c>
      <c r="M141" s="16" t="str">
        <f aca="false">IFERROR(INDEX(Lookups!$L$3:$L$5,MATCH(L141,Lookups!$K$3:$K$5,0)),"")</f>
        <v>Specify in the Functional Specification and verify by individual OQ test case (positive testing). Procedural control where user judgement is involved.</v>
      </c>
      <c r="N141" s="16" t="str">
        <f aca="false">IFERROR(INDEX(Lookups!$M$3:$M$5,MATCH(L141,Lookups!$K$3:$K$5,0)),"")</f>
        <v>Individual OQ test case — positive testing</v>
      </c>
      <c r="O141" s="16" t="s">
        <v>100</v>
      </c>
      <c r="P141" s="16" t="str">
        <f aca="false">IFERROR(INDEX(Lookups!$N$3:$N$5,MATCH(L141,Lookups!$K$3:$K$5,0)),"")</f>
        <v>Low</v>
      </c>
      <c r="Q141" s="16"/>
    </row>
    <row r="142" customFormat="false" ht="60" hidden="false" customHeight="true" outlineLevel="0" collapsed="false">
      <c r="A142" s="15" t="s">
        <v>567</v>
      </c>
      <c r="B142" s="15" t="s">
        <v>568</v>
      </c>
      <c r="C142" s="16" t="s">
        <v>543</v>
      </c>
      <c r="D142" s="16" t="s">
        <v>569</v>
      </c>
      <c r="E142" s="15" t="s">
        <v>97</v>
      </c>
      <c r="F142" s="15" t="s">
        <v>98</v>
      </c>
      <c r="G142" s="16" t="s">
        <v>545</v>
      </c>
      <c r="H142" s="15" t="s">
        <v>45</v>
      </c>
      <c r="I142" s="15" t="s">
        <v>43</v>
      </c>
      <c r="J142" s="15" t="s">
        <v>47</v>
      </c>
      <c r="K142" s="15" t="n">
        <f aca="false">IFERROR(INDEX(Lookups!$D$3:$D$11,MATCH(H142&amp;"|"&amp;I142,Lookups!$C$3:$C$11,0)),"")</f>
        <v>3</v>
      </c>
      <c r="L142" s="15" t="str">
        <f aca="false">IFERROR(INDEX(Lookups!$H$3:$H$11,MATCH(K142&amp;"|"&amp;J142,Lookups!$G$3:$G$11,0)),"")</f>
        <v>High</v>
      </c>
      <c r="M142" s="16" t="str">
        <f aca="false">IFERROR(INDEX(Lookups!$L$3:$L$5,MATCH(L142,Lookups!$K$3:$K$5,0)),"")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142" s="16" t="str">
        <f aca="false">IFERROR(INDEX(Lookups!$M$3:$M$5,MATCH(L142,Lookups!$K$3:$K$5,0)),"")</f>
        <v>Individual OQ test case — positive and negative testing, executed and witnessed</v>
      </c>
      <c r="O142" s="16" t="s">
        <v>100</v>
      </c>
      <c r="P142" s="16" t="str">
        <f aca="false">IFERROR(INDEX(Lookups!$N$3:$N$5,MATCH(L142,Lookups!$K$3:$K$5,0)),"")</f>
        <v>Medium (to be confirmed after test execution)</v>
      </c>
      <c r="Q142" s="16"/>
    </row>
    <row r="143" customFormat="false" ht="60" hidden="false" customHeight="true" outlineLevel="0" collapsed="false">
      <c r="A143" s="15" t="s">
        <v>570</v>
      </c>
      <c r="B143" s="15" t="s">
        <v>571</v>
      </c>
      <c r="C143" s="16" t="s">
        <v>543</v>
      </c>
      <c r="D143" s="16" t="s">
        <v>572</v>
      </c>
      <c r="E143" s="15" t="s">
        <v>97</v>
      </c>
      <c r="F143" s="15" t="s">
        <v>98</v>
      </c>
      <c r="G143" s="16" t="s">
        <v>545</v>
      </c>
      <c r="H143" s="15" t="s">
        <v>45</v>
      </c>
      <c r="I143" s="15" t="s">
        <v>45</v>
      </c>
      <c r="J143" s="15" t="s">
        <v>45</v>
      </c>
      <c r="K143" s="15" t="n">
        <f aca="false">IFERROR(INDEX(Lookups!$D$3:$D$11,MATCH(H143&amp;"|"&amp;I143,Lookups!$C$3:$C$11,0)),"")</f>
        <v>2</v>
      </c>
      <c r="L143" s="15" t="str">
        <f aca="false">IFERROR(INDEX(Lookups!$H$3:$H$11,MATCH(K143&amp;"|"&amp;J143,Lookups!$G$3:$G$11,0)),"")</f>
        <v>Medium</v>
      </c>
      <c r="M143" s="16" t="str">
        <f aca="false">IFERROR(INDEX(Lookups!$L$3:$L$5,MATCH(L143,Lookups!$K$3:$K$5,0)),"")</f>
        <v>Specify in the Functional Specification and verify by individual OQ test case (positive testing). Procedural control where user judgement is involved.</v>
      </c>
      <c r="N143" s="16" t="str">
        <f aca="false">IFERROR(INDEX(Lookups!$M$3:$M$5,MATCH(L143,Lookups!$K$3:$K$5,0)),"")</f>
        <v>Individual OQ test case — positive testing</v>
      </c>
      <c r="O143" s="16" t="s">
        <v>100</v>
      </c>
      <c r="P143" s="16" t="str">
        <f aca="false">IFERROR(INDEX(Lookups!$N$3:$N$5,MATCH(L143,Lookups!$K$3:$K$5,0)),"")</f>
        <v>Low</v>
      </c>
      <c r="Q143" s="16"/>
    </row>
    <row r="144" customFormat="false" ht="60" hidden="false" customHeight="true" outlineLevel="0" collapsed="false">
      <c r="A144" s="15" t="s">
        <v>573</v>
      </c>
      <c r="B144" s="15" t="s">
        <v>574</v>
      </c>
      <c r="C144" s="16" t="s">
        <v>575</v>
      </c>
      <c r="D144" s="16" t="s">
        <v>576</v>
      </c>
      <c r="E144" s="15" t="s">
        <v>97</v>
      </c>
      <c r="F144" s="15" t="s">
        <v>98</v>
      </c>
      <c r="G144" s="16" t="s">
        <v>577</v>
      </c>
      <c r="H144" s="15" t="s">
        <v>43</v>
      </c>
      <c r="I144" s="15" t="s">
        <v>45</v>
      </c>
      <c r="J144" s="15" t="s">
        <v>45</v>
      </c>
      <c r="K144" s="15" t="n">
        <f aca="false">IFERROR(INDEX(Lookups!$D$3:$D$11,MATCH(H144&amp;"|"&amp;I144,Lookups!$C$3:$C$11,0)),"")</f>
        <v>3</v>
      </c>
      <c r="L144" s="15" t="str">
        <f aca="false">IFERROR(INDEX(Lookups!$H$3:$H$11,MATCH(K144&amp;"|"&amp;J144,Lookups!$G$3:$G$11,0)),"")</f>
        <v>High</v>
      </c>
      <c r="M144" s="16" t="str">
        <f aca="false">IFERROR(INDEX(Lookups!$L$3:$L$5,MATCH(L144,Lookups!$K$3:$K$5,0)),"")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144" s="16" t="str">
        <f aca="false">IFERROR(INDEX(Lookups!$M$3:$M$5,MATCH(L144,Lookups!$K$3:$K$5,0)),"")</f>
        <v>Individual OQ test case — positive and negative testing, executed and witnessed</v>
      </c>
      <c r="O144" s="16" t="s">
        <v>100</v>
      </c>
      <c r="P144" s="16" t="str">
        <f aca="false">IFERROR(INDEX(Lookups!$N$3:$N$5,MATCH(L144,Lookups!$K$3:$K$5,0)),"")</f>
        <v>Medium (to be confirmed after test execution)</v>
      </c>
      <c r="Q144" s="16"/>
    </row>
    <row r="145" customFormat="false" ht="60" hidden="false" customHeight="true" outlineLevel="0" collapsed="false">
      <c r="A145" s="15" t="s">
        <v>578</v>
      </c>
      <c r="B145" s="15" t="s">
        <v>579</v>
      </c>
      <c r="C145" s="16" t="s">
        <v>575</v>
      </c>
      <c r="D145" s="16" t="s">
        <v>580</v>
      </c>
      <c r="E145" s="15" t="s">
        <v>97</v>
      </c>
      <c r="F145" s="15" t="s">
        <v>98</v>
      </c>
      <c r="G145" s="16" t="s">
        <v>577</v>
      </c>
      <c r="H145" s="15" t="s">
        <v>45</v>
      </c>
      <c r="I145" s="15" t="s">
        <v>45</v>
      </c>
      <c r="J145" s="15" t="s">
        <v>45</v>
      </c>
      <c r="K145" s="15" t="n">
        <f aca="false">IFERROR(INDEX(Lookups!$D$3:$D$11,MATCH(H145&amp;"|"&amp;I145,Lookups!$C$3:$C$11,0)),"")</f>
        <v>2</v>
      </c>
      <c r="L145" s="15" t="str">
        <f aca="false">IFERROR(INDEX(Lookups!$H$3:$H$11,MATCH(K145&amp;"|"&amp;J145,Lookups!$G$3:$G$11,0)),"")</f>
        <v>Medium</v>
      </c>
      <c r="M145" s="16" t="str">
        <f aca="false">IFERROR(INDEX(Lookups!$L$3:$L$5,MATCH(L145,Lookups!$K$3:$K$5,0)),"")</f>
        <v>Specify in the Functional Specification and verify by individual OQ test case (positive testing). Procedural control where user judgement is involved.</v>
      </c>
      <c r="N145" s="16" t="str">
        <f aca="false">IFERROR(INDEX(Lookups!$M$3:$M$5,MATCH(L145,Lookups!$K$3:$K$5,0)),"")</f>
        <v>Individual OQ test case — positive testing</v>
      </c>
      <c r="O145" s="16" t="s">
        <v>100</v>
      </c>
      <c r="P145" s="16" t="str">
        <f aca="false">IFERROR(INDEX(Lookups!$N$3:$N$5,MATCH(L145,Lookups!$K$3:$K$5,0)),"")</f>
        <v>Low</v>
      </c>
      <c r="Q145" s="16"/>
    </row>
    <row r="146" customFormat="false" ht="60" hidden="false" customHeight="true" outlineLevel="0" collapsed="false">
      <c r="A146" s="15" t="s">
        <v>581</v>
      </c>
      <c r="B146" s="15" t="s">
        <v>582</v>
      </c>
      <c r="C146" s="16" t="s">
        <v>575</v>
      </c>
      <c r="D146" s="16" t="s">
        <v>583</v>
      </c>
      <c r="E146" s="15" t="s">
        <v>97</v>
      </c>
      <c r="F146" s="15" t="s">
        <v>98</v>
      </c>
      <c r="G146" s="16" t="s">
        <v>577</v>
      </c>
      <c r="H146" s="15" t="s">
        <v>43</v>
      </c>
      <c r="I146" s="15" t="s">
        <v>45</v>
      </c>
      <c r="J146" s="15" t="s">
        <v>45</v>
      </c>
      <c r="K146" s="15" t="n">
        <f aca="false">IFERROR(INDEX(Lookups!$D$3:$D$11,MATCH(H146&amp;"|"&amp;I146,Lookups!$C$3:$C$11,0)),"")</f>
        <v>3</v>
      </c>
      <c r="L146" s="15" t="str">
        <f aca="false">IFERROR(INDEX(Lookups!$H$3:$H$11,MATCH(K146&amp;"|"&amp;J146,Lookups!$G$3:$G$11,0)),"")</f>
        <v>High</v>
      </c>
      <c r="M146" s="16" t="str">
        <f aca="false">IFERROR(INDEX(Lookups!$L$3:$L$5,MATCH(L146,Lookups!$K$3:$K$5,0)),"")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146" s="16" t="str">
        <f aca="false">IFERROR(INDEX(Lookups!$M$3:$M$5,MATCH(L146,Lookups!$K$3:$K$5,0)),"")</f>
        <v>Individual OQ test case — positive and negative testing, executed and witnessed</v>
      </c>
      <c r="O146" s="16" t="s">
        <v>100</v>
      </c>
      <c r="P146" s="16" t="str">
        <f aca="false">IFERROR(INDEX(Lookups!$N$3:$N$5,MATCH(L146,Lookups!$K$3:$K$5,0)),"")</f>
        <v>Medium (to be confirmed after test execution)</v>
      </c>
      <c r="Q146" s="16"/>
    </row>
    <row r="147" customFormat="false" ht="60" hidden="false" customHeight="true" outlineLevel="0" collapsed="false">
      <c r="A147" s="15" t="s">
        <v>584</v>
      </c>
      <c r="B147" s="15" t="s">
        <v>585</v>
      </c>
      <c r="C147" s="16" t="s">
        <v>575</v>
      </c>
      <c r="D147" s="16" t="s">
        <v>586</v>
      </c>
      <c r="E147" s="15" t="s">
        <v>97</v>
      </c>
      <c r="F147" s="15" t="s">
        <v>98</v>
      </c>
      <c r="G147" s="16" t="s">
        <v>577</v>
      </c>
      <c r="H147" s="15" t="s">
        <v>43</v>
      </c>
      <c r="I147" s="15" t="s">
        <v>45</v>
      </c>
      <c r="J147" s="15" t="s">
        <v>45</v>
      </c>
      <c r="K147" s="15" t="n">
        <f aca="false">IFERROR(INDEX(Lookups!$D$3:$D$11,MATCH(H147&amp;"|"&amp;I147,Lookups!$C$3:$C$11,0)),"")</f>
        <v>3</v>
      </c>
      <c r="L147" s="15" t="str">
        <f aca="false">IFERROR(INDEX(Lookups!$H$3:$H$11,MATCH(K147&amp;"|"&amp;J147,Lookups!$G$3:$G$11,0)),"")</f>
        <v>High</v>
      </c>
      <c r="M147" s="16" t="str">
        <f aca="false">IFERROR(INDEX(Lookups!$L$3:$L$5,MATCH(L147,Lookups!$K$3:$K$5,0)),"")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147" s="16" t="str">
        <f aca="false">IFERROR(INDEX(Lookups!$M$3:$M$5,MATCH(L147,Lookups!$K$3:$K$5,0)),"")</f>
        <v>Individual OQ test case — positive and negative testing, executed and witnessed</v>
      </c>
      <c r="O147" s="16" t="s">
        <v>100</v>
      </c>
      <c r="P147" s="16" t="str">
        <f aca="false">IFERROR(INDEX(Lookups!$N$3:$N$5,MATCH(L147,Lookups!$K$3:$K$5,0)),"")</f>
        <v>Medium (to be confirmed after test execution)</v>
      </c>
      <c r="Q147" s="16"/>
    </row>
    <row r="148" customFormat="false" ht="60" hidden="false" customHeight="true" outlineLevel="0" collapsed="false">
      <c r="A148" s="15" t="s">
        <v>587</v>
      </c>
      <c r="B148" s="15" t="s">
        <v>588</v>
      </c>
      <c r="C148" s="16" t="s">
        <v>575</v>
      </c>
      <c r="D148" s="16" t="s">
        <v>589</v>
      </c>
      <c r="E148" s="15" t="s">
        <v>97</v>
      </c>
      <c r="F148" s="15" t="s">
        <v>98</v>
      </c>
      <c r="G148" s="16" t="s">
        <v>590</v>
      </c>
      <c r="H148" s="15" t="s">
        <v>43</v>
      </c>
      <c r="I148" s="15" t="s">
        <v>45</v>
      </c>
      <c r="J148" s="15" t="s">
        <v>45</v>
      </c>
      <c r="K148" s="15" t="n">
        <f aca="false">IFERROR(INDEX(Lookups!$D$3:$D$11,MATCH(H148&amp;"|"&amp;I148,Lookups!$C$3:$C$11,0)),"")</f>
        <v>3</v>
      </c>
      <c r="L148" s="15" t="str">
        <f aca="false">IFERROR(INDEX(Lookups!$H$3:$H$11,MATCH(K148&amp;"|"&amp;J148,Lookups!$G$3:$G$11,0)),"")</f>
        <v>High</v>
      </c>
      <c r="M148" s="16" t="str">
        <f aca="false">IFERROR(INDEX(Lookups!$L$3:$L$5,MATCH(L148,Lookups!$K$3:$K$5,0)),"")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148" s="16" t="str">
        <f aca="false">IFERROR(INDEX(Lookups!$M$3:$M$5,MATCH(L148,Lookups!$K$3:$K$5,0)),"")</f>
        <v>Individual OQ test case — positive and negative testing, executed and witnessed</v>
      </c>
      <c r="O148" s="16" t="s">
        <v>100</v>
      </c>
      <c r="P148" s="16" t="str">
        <f aca="false">IFERROR(INDEX(Lookups!$N$3:$N$5,MATCH(L148,Lookups!$K$3:$K$5,0)),"")</f>
        <v>Medium (to be confirmed after test execution)</v>
      </c>
      <c r="Q148" s="16"/>
    </row>
    <row r="149" customFormat="false" ht="60" hidden="false" customHeight="true" outlineLevel="0" collapsed="false">
      <c r="A149" s="15" t="s">
        <v>591</v>
      </c>
      <c r="B149" s="15" t="s">
        <v>592</v>
      </c>
      <c r="C149" s="16" t="s">
        <v>575</v>
      </c>
      <c r="D149" s="16" t="s">
        <v>593</v>
      </c>
      <c r="E149" s="15" t="s">
        <v>97</v>
      </c>
      <c r="F149" s="15" t="s">
        <v>98</v>
      </c>
      <c r="G149" s="16" t="s">
        <v>577</v>
      </c>
      <c r="H149" s="15" t="s">
        <v>43</v>
      </c>
      <c r="I149" s="15" t="s">
        <v>45</v>
      </c>
      <c r="J149" s="15" t="s">
        <v>45</v>
      </c>
      <c r="K149" s="15" t="n">
        <f aca="false">IFERROR(INDEX(Lookups!$D$3:$D$11,MATCH(H149&amp;"|"&amp;I149,Lookups!$C$3:$C$11,0)),"")</f>
        <v>3</v>
      </c>
      <c r="L149" s="15" t="str">
        <f aca="false">IFERROR(INDEX(Lookups!$H$3:$H$11,MATCH(K149&amp;"|"&amp;J149,Lookups!$G$3:$G$11,0)),"")</f>
        <v>High</v>
      </c>
      <c r="M149" s="16" t="str">
        <f aca="false">IFERROR(INDEX(Lookups!$L$3:$L$5,MATCH(L149,Lookups!$K$3:$K$5,0)),"")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149" s="16" t="str">
        <f aca="false">IFERROR(INDEX(Lookups!$M$3:$M$5,MATCH(L149,Lookups!$K$3:$K$5,0)),"")</f>
        <v>Individual OQ test case — positive and negative testing, executed and witnessed</v>
      </c>
      <c r="O149" s="16" t="s">
        <v>100</v>
      </c>
      <c r="P149" s="16" t="str">
        <f aca="false">IFERROR(INDEX(Lookups!$N$3:$N$5,MATCH(L149,Lookups!$K$3:$K$5,0)),"")</f>
        <v>Medium (to be confirmed after test execution)</v>
      </c>
      <c r="Q149" s="16"/>
    </row>
    <row r="150" customFormat="false" ht="60" hidden="false" customHeight="true" outlineLevel="0" collapsed="false">
      <c r="A150" s="15" t="s">
        <v>594</v>
      </c>
      <c r="B150" s="15" t="s">
        <v>595</v>
      </c>
      <c r="C150" s="16" t="s">
        <v>596</v>
      </c>
      <c r="D150" s="16" t="s">
        <v>597</v>
      </c>
      <c r="E150" s="15" t="s">
        <v>97</v>
      </c>
      <c r="F150" s="15" t="s">
        <v>98</v>
      </c>
      <c r="G150" s="16" t="s">
        <v>598</v>
      </c>
      <c r="H150" s="15" t="s">
        <v>43</v>
      </c>
      <c r="I150" s="15" t="s">
        <v>45</v>
      </c>
      <c r="J150" s="15" t="s">
        <v>47</v>
      </c>
      <c r="K150" s="15" t="n">
        <f aca="false">IFERROR(INDEX(Lookups!$D$3:$D$11,MATCH(H150&amp;"|"&amp;I150,Lookups!$C$3:$C$11,0)),"")</f>
        <v>3</v>
      </c>
      <c r="L150" s="15" t="str">
        <f aca="false">IFERROR(INDEX(Lookups!$H$3:$H$11,MATCH(K150&amp;"|"&amp;J150,Lookups!$G$3:$G$11,0)),"")</f>
        <v>High</v>
      </c>
      <c r="M150" s="16" t="str">
        <f aca="false">IFERROR(INDEX(Lookups!$L$3:$L$5,MATCH(L150,Lookups!$K$3:$K$5,0)),"")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150" s="16" t="str">
        <f aca="false">IFERROR(INDEX(Lookups!$M$3:$M$5,MATCH(L150,Lookups!$K$3:$K$5,0)),"")</f>
        <v>Individual OQ test case — positive and negative testing, executed and witnessed</v>
      </c>
      <c r="O150" s="16" t="s">
        <v>100</v>
      </c>
      <c r="P150" s="16" t="str">
        <f aca="false">IFERROR(INDEX(Lookups!$N$3:$N$5,MATCH(L150,Lookups!$K$3:$K$5,0)),"")</f>
        <v>Medium (to be confirmed after test execution)</v>
      </c>
      <c r="Q150" s="16"/>
    </row>
    <row r="151" customFormat="false" ht="60" hidden="false" customHeight="true" outlineLevel="0" collapsed="false">
      <c r="A151" s="15" t="s">
        <v>599</v>
      </c>
      <c r="B151" s="15" t="s">
        <v>600</v>
      </c>
      <c r="C151" s="16" t="s">
        <v>596</v>
      </c>
      <c r="D151" s="16" t="s">
        <v>601</v>
      </c>
      <c r="E151" s="15" t="s">
        <v>97</v>
      </c>
      <c r="F151" s="15" t="s">
        <v>98</v>
      </c>
      <c r="G151" s="16" t="s">
        <v>598</v>
      </c>
      <c r="H151" s="15" t="s">
        <v>45</v>
      </c>
      <c r="I151" s="15" t="s">
        <v>45</v>
      </c>
      <c r="J151" s="15" t="s">
        <v>45</v>
      </c>
      <c r="K151" s="15" t="n">
        <f aca="false">IFERROR(INDEX(Lookups!$D$3:$D$11,MATCH(H151&amp;"|"&amp;I151,Lookups!$C$3:$C$11,0)),"")</f>
        <v>2</v>
      </c>
      <c r="L151" s="15" t="str">
        <f aca="false">IFERROR(INDEX(Lookups!$H$3:$H$11,MATCH(K151&amp;"|"&amp;J151,Lookups!$G$3:$G$11,0)),"")</f>
        <v>Medium</v>
      </c>
      <c r="M151" s="16" t="str">
        <f aca="false">IFERROR(INDEX(Lookups!$L$3:$L$5,MATCH(L151,Lookups!$K$3:$K$5,0)),"")</f>
        <v>Specify in the Functional Specification and verify by individual OQ test case (positive testing). Procedural control where user judgement is involved.</v>
      </c>
      <c r="N151" s="16" t="str">
        <f aca="false">IFERROR(INDEX(Lookups!$M$3:$M$5,MATCH(L151,Lookups!$K$3:$K$5,0)),"")</f>
        <v>Individual OQ test case — positive testing</v>
      </c>
      <c r="O151" s="16" t="s">
        <v>100</v>
      </c>
      <c r="P151" s="16" t="str">
        <f aca="false">IFERROR(INDEX(Lookups!$N$3:$N$5,MATCH(L151,Lookups!$K$3:$K$5,0)),"")</f>
        <v>Low</v>
      </c>
      <c r="Q151" s="16"/>
    </row>
    <row r="152" customFormat="false" ht="60" hidden="false" customHeight="true" outlineLevel="0" collapsed="false">
      <c r="A152" s="15" t="s">
        <v>602</v>
      </c>
      <c r="B152" s="15" t="s">
        <v>603</v>
      </c>
      <c r="C152" s="16" t="s">
        <v>596</v>
      </c>
      <c r="D152" s="16" t="s">
        <v>604</v>
      </c>
      <c r="E152" s="15" t="s">
        <v>97</v>
      </c>
      <c r="F152" s="15" t="s">
        <v>98</v>
      </c>
      <c r="G152" s="16" t="s">
        <v>605</v>
      </c>
      <c r="H152" s="15" t="s">
        <v>43</v>
      </c>
      <c r="I152" s="15" t="s">
        <v>45</v>
      </c>
      <c r="J152" s="15" t="s">
        <v>47</v>
      </c>
      <c r="K152" s="15" t="n">
        <f aca="false">IFERROR(INDEX(Lookups!$D$3:$D$11,MATCH(H152&amp;"|"&amp;I152,Lookups!$C$3:$C$11,0)),"")</f>
        <v>3</v>
      </c>
      <c r="L152" s="15" t="str">
        <f aca="false">IFERROR(INDEX(Lookups!$H$3:$H$11,MATCH(K152&amp;"|"&amp;J152,Lookups!$G$3:$G$11,0)),"")</f>
        <v>High</v>
      </c>
      <c r="M152" s="16" t="str">
        <f aca="false">IFERROR(INDEX(Lookups!$L$3:$L$5,MATCH(L152,Lookups!$K$3:$K$5,0)),"")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152" s="16" t="str">
        <f aca="false">IFERROR(INDEX(Lookups!$M$3:$M$5,MATCH(L152,Lookups!$K$3:$K$5,0)),"")</f>
        <v>Individual OQ test case — positive and negative testing, executed and witnessed</v>
      </c>
      <c r="O152" s="16" t="s">
        <v>100</v>
      </c>
      <c r="P152" s="16" t="str">
        <f aca="false">IFERROR(INDEX(Lookups!$N$3:$N$5,MATCH(L152,Lookups!$K$3:$K$5,0)),"")</f>
        <v>Medium (to be confirmed after test execution)</v>
      </c>
      <c r="Q152" s="16"/>
    </row>
    <row r="153" customFormat="false" ht="60" hidden="false" customHeight="true" outlineLevel="0" collapsed="false">
      <c r="A153" s="15" t="s">
        <v>606</v>
      </c>
      <c r="B153" s="15" t="s">
        <v>607</v>
      </c>
      <c r="C153" s="16" t="s">
        <v>596</v>
      </c>
      <c r="D153" s="16" t="s">
        <v>608</v>
      </c>
      <c r="E153" s="15" t="s">
        <v>97</v>
      </c>
      <c r="F153" s="15" t="s">
        <v>98</v>
      </c>
      <c r="G153" s="16" t="s">
        <v>609</v>
      </c>
      <c r="H153" s="15" t="s">
        <v>43</v>
      </c>
      <c r="I153" s="15" t="s">
        <v>47</v>
      </c>
      <c r="J153" s="15" t="s">
        <v>47</v>
      </c>
      <c r="K153" s="15" t="n">
        <f aca="false">IFERROR(INDEX(Lookups!$D$3:$D$11,MATCH(H153&amp;"|"&amp;I153,Lookups!$C$3:$C$11,0)),"")</f>
        <v>2</v>
      </c>
      <c r="L153" s="15" t="str">
        <f aca="false">IFERROR(INDEX(Lookups!$H$3:$H$11,MATCH(K153&amp;"|"&amp;J153,Lookups!$G$3:$G$11,0)),"")</f>
        <v>High</v>
      </c>
      <c r="M153" s="16" t="str">
        <f aca="false">IFERROR(INDEX(Lookups!$L$3:$L$5,MATCH(L153,Lookups!$K$3:$K$5,0)),"")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153" s="16" t="str">
        <f aca="false">IFERROR(INDEX(Lookups!$M$3:$M$5,MATCH(L153,Lookups!$K$3:$K$5,0)),"")</f>
        <v>Individual OQ test case — positive and negative testing, executed and witnessed</v>
      </c>
      <c r="O153" s="16" t="s">
        <v>100</v>
      </c>
      <c r="P153" s="16" t="str">
        <f aca="false">IFERROR(INDEX(Lookups!$N$3:$N$5,MATCH(L153,Lookups!$K$3:$K$5,0)),"")</f>
        <v>Medium (to be confirmed after test execution)</v>
      </c>
      <c r="Q153" s="16"/>
    </row>
    <row r="154" customFormat="false" ht="60" hidden="false" customHeight="true" outlineLevel="0" collapsed="false">
      <c r="A154" s="15" t="s">
        <v>610</v>
      </c>
      <c r="B154" s="15" t="s">
        <v>611</v>
      </c>
      <c r="C154" s="16" t="s">
        <v>596</v>
      </c>
      <c r="D154" s="16" t="s">
        <v>612</v>
      </c>
      <c r="E154" s="15" t="s">
        <v>97</v>
      </c>
      <c r="F154" s="15" t="s">
        <v>98</v>
      </c>
      <c r="G154" s="16" t="s">
        <v>613</v>
      </c>
      <c r="H154" s="15" t="s">
        <v>43</v>
      </c>
      <c r="I154" s="15" t="s">
        <v>45</v>
      </c>
      <c r="J154" s="15" t="s">
        <v>47</v>
      </c>
      <c r="K154" s="15" t="n">
        <f aca="false">IFERROR(INDEX(Lookups!$D$3:$D$11,MATCH(H154&amp;"|"&amp;I154,Lookups!$C$3:$C$11,0)),"")</f>
        <v>3</v>
      </c>
      <c r="L154" s="15" t="str">
        <f aca="false">IFERROR(INDEX(Lookups!$H$3:$H$11,MATCH(K154&amp;"|"&amp;J154,Lookups!$G$3:$G$11,0)),"")</f>
        <v>High</v>
      </c>
      <c r="M154" s="16" t="str">
        <f aca="false">IFERROR(INDEX(Lookups!$L$3:$L$5,MATCH(L154,Lookups!$K$3:$K$5,0)),"")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154" s="16" t="str">
        <f aca="false">IFERROR(INDEX(Lookups!$M$3:$M$5,MATCH(L154,Lookups!$K$3:$K$5,0)),"")</f>
        <v>Individual OQ test case — positive and negative testing, executed and witnessed</v>
      </c>
      <c r="O154" s="16" t="s">
        <v>100</v>
      </c>
      <c r="P154" s="16" t="str">
        <f aca="false">IFERROR(INDEX(Lookups!$N$3:$N$5,MATCH(L154,Lookups!$K$3:$K$5,0)),"")</f>
        <v>Medium (to be confirmed after test execution)</v>
      </c>
      <c r="Q154" s="16"/>
    </row>
    <row r="155" customFormat="false" ht="60" hidden="false" customHeight="true" outlineLevel="0" collapsed="false">
      <c r="A155" s="15" t="s">
        <v>614</v>
      </c>
      <c r="B155" s="15" t="s">
        <v>615</v>
      </c>
      <c r="C155" s="16" t="s">
        <v>596</v>
      </c>
      <c r="D155" s="16" t="s">
        <v>616</v>
      </c>
      <c r="E155" s="15" t="s">
        <v>97</v>
      </c>
      <c r="F155" s="15" t="s">
        <v>98</v>
      </c>
      <c r="G155" s="16" t="s">
        <v>598</v>
      </c>
      <c r="H155" s="15" t="s">
        <v>45</v>
      </c>
      <c r="I155" s="15" t="s">
        <v>45</v>
      </c>
      <c r="J155" s="15" t="s">
        <v>45</v>
      </c>
      <c r="K155" s="15" t="n">
        <f aca="false">IFERROR(INDEX(Lookups!$D$3:$D$11,MATCH(H155&amp;"|"&amp;I155,Lookups!$C$3:$C$11,0)),"")</f>
        <v>2</v>
      </c>
      <c r="L155" s="15" t="str">
        <f aca="false">IFERROR(INDEX(Lookups!$H$3:$H$11,MATCH(K155&amp;"|"&amp;J155,Lookups!$G$3:$G$11,0)),"")</f>
        <v>Medium</v>
      </c>
      <c r="M155" s="16" t="str">
        <f aca="false">IFERROR(INDEX(Lookups!$L$3:$L$5,MATCH(L155,Lookups!$K$3:$K$5,0)),"")</f>
        <v>Specify in the Functional Specification and verify by individual OQ test case (positive testing). Procedural control where user judgement is involved.</v>
      </c>
      <c r="N155" s="16" t="str">
        <f aca="false">IFERROR(INDEX(Lookups!$M$3:$M$5,MATCH(L155,Lookups!$K$3:$K$5,0)),"")</f>
        <v>Individual OQ test case — positive testing</v>
      </c>
      <c r="O155" s="16" t="s">
        <v>100</v>
      </c>
      <c r="P155" s="16" t="str">
        <f aca="false">IFERROR(INDEX(Lookups!$N$3:$N$5,MATCH(L155,Lookups!$K$3:$K$5,0)),"")</f>
        <v>Low</v>
      </c>
      <c r="Q155" s="16"/>
    </row>
    <row r="156" customFormat="false" ht="60" hidden="false" customHeight="true" outlineLevel="0" collapsed="false">
      <c r="A156" s="15" t="s">
        <v>617</v>
      </c>
      <c r="B156" s="15" t="s">
        <v>618</v>
      </c>
      <c r="C156" s="16" t="s">
        <v>596</v>
      </c>
      <c r="D156" s="16" t="s">
        <v>619</v>
      </c>
      <c r="E156" s="15" t="s">
        <v>97</v>
      </c>
      <c r="F156" s="15" t="s">
        <v>98</v>
      </c>
      <c r="G156" s="16" t="s">
        <v>620</v>
      </c>
      <c r="H156" s="15" t="s">
        <v>43</v>
      </c>
      <c r="I156" s="15" t="s">
        <v>47</v>
      </c>
      <c r="J156" s="15" t="s">
        <v>45</v>
      </c>
      <c r="K156" s="15" t="n">
        <f aca="false">IFERROR(INDEX(Lookups!$D$3:$D$11,MATCH(H156&amp;"|"&amp;I156,Lookups!$C$3:$C$11,0)),"")</f>
        <v>2</v>
      </c>
      <c r="L156" s="15" t="str">
        <f aca="false">IFERROR(INDEX(Lookups!$H$3:$H$11,MATCH(K156&amp;"|"&amp;J156,Lookups!$G$3:$G$11,0)),"")</f>
        <v>Medium</v>
      </c>
      <c r="M156" s="16" t="str">
        <f aca="false">IFERROR(INDEX(Lookups!$L$3:$L$5,MATCH(L156,Lookups!$K$3:$K$5,0)),"")</f>
        <v>Specify in the Functional Specification and verify by individual OQ test case (positive testing). Procedural control where user judgement is involved.</v>
      </c>
      <c r="N156" s="16" t="str">
        <f aca="false">IFERROR(INDEX(Lookups!$M$3:$M$5,MATCH(L156,Lookups!$K$3:$K$5,0)),"")</f>
        <v>Individual OQ test case — positive testing</v>
      </c>
      <c r="O156" s="16" t="s">
        <v>621</v>
      </c>
      <c r="P156" s="16" t="str">
        <f aca="false">IFERROR(INDEX(Lookups!$N$3:$N$5,MATCH(L156,Lookups!$K$3:$K$5,0)),"")</f>
        <v>Low</v>
      </c>
      <c r="Q156" s="16"/>
    </row>
    <row r="157" customFormat="false" ht="60" hidden="false" customHeight="true" outlineLevel="0" collapsed="false">
      <c r="A157" s="15" t="s">
        <v>622</v>
      </c>
      <c r="B157" s="15" t="s">
        <v>623</v>
      </c>
      <c r="C157" s="16" t="s">
        <v>624</v>
      </c>
      <c r="D157" s="16" t="s">
        <v>625</v>
      </c>
      <c r="E157" s="15" t="s">
        <v>97</v>
      </c>
      <c r="F157" s="15" t="s">
        <v>626</v>
      </c>
      <c r="G157" s="16" t="s">
        <v>627</v>
      </c>
      <c r="H157" s="15" t="s">
        <v>47</v>
      </c>
      <c r="I157" s="15" t="s">
        <v>47</v>
      </c>
      <c r="J157" s="15" t="s">
        <v>43</v>
      </c>
      <c r="K157" s="15" t="n">
        <f aca="false">IFERROR(INDEX(Lookups!$D$3:$D$11,MATCH(H157&amp;"|"&amp;I157,Lookups!$C$3:$C$11,0)),"")</f>
        <v>1</v>
      </c>
      <c r="L157" s="15" t="str">
        <f aca="false">IFERROR(INDEX(Lookups!$H$3:$H$11,MATCH(K157&amp;"|"&amp;J157,Lookups!$G$3:$G$11,0)),"")</f>
        <v>Low</v>
      </c>
      <c r="M157" s="16" t="str">
        <f aca="false">IFERROR(INDEX(Lookups!$L$3:$L$5,MATCH(L157,Lookups!$K$3:$K$5,0)),"")</f>
        <v>Verify by grouped OQ execution or PQ/UAT scenario. No additional design control required beyond standard development and code review.</v>
      </c>
      <c r="N157" s="16" t="str">
        <f aca="false">IFERROR(INDEX(Lookups!$M$3:$M$5,MATCH(L157,Lookups!$K$3:$K$5,0)),"")</f>
        <v>Grouped OQ / PQ-UAT scenario verification</v>
      </c>
      <c r="O157" s="16" t="s">
        <v>100</v>
      </c>
      <c r="P157" s="16" t="str">
        <f aca="false">IFERROR(INDEX(Lookups!$N$3:$N$5,MATCH(L157,Lookups!$K$3:$K$5,0)),"")</f>
        <v>Low</v>
      </c>
      <c r="Q157" s="16"/>
    </row>
    <row r="158" customFormat="false" ht="60" hidden="false" customHeight="true" outlineLevel="0" collapsed="false">
      <c r="A158" s="15" t="s">
        <v>628</v>
      </c>
      <c r="B158" s="15" t="s">
        <v>629</v>
      </c>
      <c r="C158" s="16" t="s">
        <v>624</v>
      </c>
      <c r="D158" s="16" t="s">
        <v>630</v>
      </c>
      <c r="E158" s="15" t="s">
        <v>171</v>
      </c>
      <c r="F158" s="15" t="s">
        <v>626</v>
      </c>
      <c r="G158" s="16" t="s">
        <v>627</v>
      </c>
      <c r="H158" s="15" t="s">
        <v>47</v>
      </c>
      <c r="I158" s="15" t="s">
        <v>45</v>
      </c>
      <c r="J158" s="15" t="s">
        <v>43</v>
      </c>
      <c r="K158" s="15" t="n">
        <f aca="false">IFERROR(INDEX(Lookups!$D$3:$D$11,MATCH(H158&amp;"|"&amp;I158,Lookups!$C$3:$C$11,0)),"")</f>
        <v>1</v>
      </c>
      <c r="L158" s="15" t="str">
        <f aca="false">IFERROR(INDEX(Lookups!$H$3:$H$11,MATCH(K158&amp;"|"&amp;J158,Lookups!$G$3:$G$11,0)),"")</f>
        <v>Low</v>
      </c>
      <c r="M158" s="16" t="str">
        <f aca="false">IFERROR(INDEX(Lookups!$L$3:$L$5,MATCH(L158,Lookups!$K$3:$K$5,0)),"")</f>
        <v>Verify by grouped OQ execution or PQ/UAT scenario. No additional design control required beyond standard development and code review.</v>
      </c>
      <c r="N158" s="16" t="str">
        <f aca="false">IFERROR(INDEX(Lookups!$M$3:$M$5,MATCH(L158,Lookups!$K$3:$K$5,0)),"")</f>
        <v>Grouped OQ / PQ-UAT scenario verification</v>
      </c>
      <c r="O158" s="16" t="s">
        <v>496</v>
      </c>
      <c r="P158" s="16" t="str">
        <f aca="false">IFERROR(INDEX(Lookups!$N$3:$N$5,MATCH(L158,Lookups!$K$3:$K$5,0)),"")</f>
        <v>Low</v>
      </c>
      <c r="Q158" s="16"/>
    </row>
    <row r="159" customFormat="false" ht="60" hidden="false" customHeight="true" outlineLevel="0" collapsed="false">
      <c r="A159" s="15" t="s">
        <v>631</v>
      </c>
      <c r="B159" s="15" t="s">
        <v>632</v>
      </c>
      <c r="C159" s="16" t="s">
        <v>624</v>
      </c>
      <c r="D159" s="16" t="s">
        <v>633</v>
      </c>
      <c r="E159" s="15" t="s">
        <v>171</v>
      </c>
      <c r="F159" s="15" t="s">
        <v>626</v>
      </c>
      <c r="G159" s="16" t="s">
        <v>627</v>
      </c>
      <c r="H159" s="15" t="s">
        <v>47</v>
      </c>
      <c r="I159" s="15" t="s">
        <v>45</v>
      </c>
      <c r="J159" s="15" t="s">
        <v>45</v>
      </c>
      <c r="K159" s="15" t="n">
        <f aca="false">IFERROR(INDEX(Lookups!$D$3:$D$11,MATCH(H159&amp;"|"&amp;I159,Lookups!$C$3:$C$11,0)),"")</f>
        <v>1</v>
      </c>
      <c r="L159" s="15" t="str">
        <f aca="false">IFERROR(INDEX(Lookups!$H$3:$H$11,MATCH(K159&amp;"|"&amp;J159,Lookups!$G$3:$G$11,0)),"")</f>
        <v>Low</v>
      </c>
      <c r="M159" s="16" t="str">
        <f aca="false">IFERROR(INDEX(Lookups!$L$3:$L$5,MATCH(L159,Lookups!$K$3:$K$5,0)),"")</f>
        <v>Verify by grouped OQ execution or PQ/UAT scenario. No additional design control required beyond standard development and code review.</v>
      </c>
      <c r="N159" s="16" t="str">
        <f aca="false">IFERROR(INDEX(Lookups!$M$3:$M$5,MATCH(L159,Lookups!$K$3:$K$5,0)),"")</f>
        <v>Grouped OQ / PQ-UAT scenario verification</v>
      </c>
      <c r="O159" s="16" t="s">
        <v>496</v>
      </c>
      <c r="P159" s="16" t="str">
        <f aca="false">IFERROR(INDEX(Lookups!$N$3:$N$5,MATCH(L159,Lookups!$K$3:$K$5,0)),"")</f>
        <v>Low</v>
      </c>
      <c r="Q159" s="16"/>
    </row>
    <row r="160" customFormat="false" ht="60" hidden="false" customHeight="true" outlineLevel="0" collapsed="false">
      <c r="A160" s="15" t="s">
        <v>634</v>
      </c>
      <c r="B160" s="15" t="s">
        <v>635</v>
      </c>
      <c r="C160" s="16" t="s">
        <v>636</v>
      </c>
      <c r="D160" s="16" t="s">
        <v>637</v>
      </c>
      <c r="E160" s="15" t="s">
        <v>171</v>
      </c>
      <c r="F160" s="15" t="s">
        <v>626</v>
      </c>
      <c r="G160" s="16" t="s">
        <v>638</v>
      </c>
      <c r="H160" s="15" t="s">
        <v>47</v>
      </c>
      <c r="I160" s="15" t="s">
        <v>45</v>
      </c>
      <c r="J160" s="15" t="s">
        <v>43</v>
      </c>
      <c r="K160" s="15" t="n">
        <f aca="false">IFERROR(INDEX(Lookups!$D$3:$D$11,MATCH(H160&amp;"|"&amp;I160,Lookups!$C$3:$C$11,0)),"")</f>
        <v>1</v>
      </c>
      <c r="L160" s="15" t="str">
        <f aca="false">IFERROR(INDEX(Lookups!$H$3:$H$11,MATCH(K160&amp;"|"&amp;J160,Lookups!$G$3:$G$11,0)),"")</f>
        <v>Low</v>
      </c>
      <c r="M160" s="16" t="str">
        <f aca="false">IFERROR(INDEX(Lookups!$L$3:$L$5,MATCH(L160,Lookups!$K$3:$K$5,0)),"")</f>
        <v>Verify by grouped OQ execution or PQ/UAT scenario. No additional design control required beyond standard development and code review.</v>
      </c>
      <c r="N160" s="16" t="str">
        <f aca="false">IFERROR(INDEX(Lookups!$M$3:$M$5,MATCH(L160,Lookups!$K$3:$K$5,0)),"")</f>
        <v>Grouped OQ / PQ-UAT scenario verification</v>
      </c>
      <c r="O160" s="16" t="s">
        <v>496</v>
      </c>
      <c r="P160" s="16" t="str">
        <f aca="false">IFERROR(INDEX(Lookups!$N$3:$N$5,MATCH(L160,Lookups!$K$3:$K$5,0)),"")</f>
        <v>Low</v>
      </c>
      <c r="Q160" s="16"/>
    </row>
    <row r="161" customFormat="false" ht="60" hidden="false" customHeight="true" outlineLevel="0" collapsed="false">
      <c r="A161" s="15" t="s">
        <v>639</v>
      </c>
      <c r="B161" s="15" t="s">
        <v>640</v>
      </c>
      <c r="C161" s="16" t="s">
        <v>641</v>
      </c>
      <c r="D161" s="16" t="s">
        <v>642</v>
      </c>
      <c r="E161" s="15" t="s">
        <v>97</v>
      </c>
      <c r="F161" s="15" t="s">
        <v>98</v>
      </c>
      <c r="G161" s="16" t="s">
        <v>643</v>
      </c>
      <c r="H161" s="15" t="s">
        <v>45</v>
      </c>
      <c r="I161" s="15" t="s">
        <v>45</v>
      </c>
      <c r="J161" s="15" t="s">
        <v>45</v>
      </c>
      <c r="K161" s="15" t="n">
        <f aca="false">IFERROR(INDEX(Lookups!$D$3:$D$11,MATCH(H161&amp;"|"&amp;I161,Lookups!$C$3:$C$11,0)),"")</f>
        <v>2</v>
      </c>
      <c r="L161" s="15" t="str">
        <f aca="false">IFERROR(INDEX(Lookups!$H$3:$H$11,MATCH(K161&amp;"|"&amp;J161,Lookups!$G$3:$G$11,0)),"")</f>
        <v>Medium</v>
      </c>
      <c r="M161" s="16" t="str">
        <f aca="false">IFERROR(INDEX(Lookups!$L$3:$L$5,MATCH(L161,Lookups!$K$3:$K$5,0)),"")</f>
        <v>Specify in the Functional Specification and verify by individual OQ test case (positive testing). Procedural control where user judgement is involved.</v>
      </c>
      <c r="N161" s="16" t="str">
        <f aca="false">IFERROR(INDEX(Lookups!$M$3:$M$5,MATCH(L161,Lookups!$K$3:$K$5,0)),"")</f>
        <v>Individual OQ test case — positive testing</v>
      </c>
      <c r="O161" s="16" t="s">
        <v>621</v>
      </c>
      <c r="P161" s="16" t="str">
        <f aca="false">IFERROR(INDEX(Lookups!$N$3:$N$5,MATCH(L161,Lookups!$K$3:$K$5,0)),"")</f>
        <v>Low</v>
      </c>
      <c r="Q161" s="16"/>
    </row>
    <row r="162" customFormat="false" ht="60" hidden="false" customHeight="true" outlineLevel="0" collapsed="false">
      <c r="A162" s="15" t="s">
        <v>644</v>
      </c>
      <c r="B162" s="15" t="s">
        <v>645</v>
      </c>
      <c r="C162" s="16" t="s">
        <v>646</v>
      </c>
      <c r="D162" s="16" t="s">
        <v>647</v>
      </c>
      <c r="E162" s="15" t="s">
        <v>97</v>
      </c>
      <c r="F162" s="15" t="s">
        <v>98</v>
      </c>
      <c r="G162" s="16" t="s">
        <v>648</v>
      </c>
      <c r="H162" s="15" t="s">
        <v>45</v>
      </c>
      <c r="I162" s="15" t="s">
        <v>47</v>
      </c>
      <c r="J162" s="15" t="s">
        <v>45</v>
      </c>
      <c r="K162" s="15" t="n">
        <f aca="false">IFERROR(INDEX(Lookups!$D$3:$D$11,MATCH(H162&amp;"|"&amp;I162,Lookups!$C$3:$C$11,0)),"")</f>
        <v>1</v>
      </c>
      <c r="L162" s="15" t="str">
        <f aca="false">IFERROR(INDEX(Lookups!$H$3:$H$11,MATCH(K162&amp;"|"&amp;J162,Lookups!$G$3:$G$11,0)),"")</f>
        <v>Low</v>
      </c>
      <c r="M162" s="16" t="str">
        <f aca="false">IFERROR(INDEX(Lookups!$L$3:$L$5,MATCH(L162,Lookups!$K$3:$K$5,0)),"")</f>
        <v>Verify by grouped OQ execution or PQ/UAT scenario. No additional design control required beyond standard development and code review.</v>
      </c>
      <c r="N162" s="16" t="str">
        <f aca="false">IFERROR(INDEX(Lookups!$M$3:$M$5,MATCH(L162,Lookups!$K$3:$K$5,0)),"")</f>
        <v>Grouped OQ / PQ-UAT scenario verification</v>
      </c>
      <c r="O162" s="16" t="s">
        <v>100</v>
      </c>
      <c r="P162" s="16" t="str">
        <f aca="false">IFERROR(INDEX(Lookups!$N$3:$N$5,MATCH(L162,Lookups!$K$3:$K$5,0)),"")</f>
        <v>Low</v>
      </c>
      <c r="Q162" s="16"/>
    </row>
    <row r="163" customFormat="false" ht="60" hidden="false" customHeight="true" outlineLevel="0" collapsed="false">
      <c r="A163" s="15" t="s">
        <v>649</v>
      </c>
      <c r="B163" s="15" t="s">
        <v>650</v>
      </c>
      <c r="C163" s="16" t="s">
        <v>646</v>
      </c>
      <c r="D163" s="16" t="s">
        <v>651</v>
      </c>
      <c r="E163" s="15" t="s">
        <v>97</v>
      </c>
      <c r="F163" s="15" t="s">
        <v>98</v>
      </c>
      <c r="G163" s="16" t="s">
        <v>648</v>
      </c>
      <c r="H163" s="15" t="s">
        <v>45</v>
      </c>
      <c r="I163" s="15" t="s">
        <v>47</v>
      </c>
      <c r="J163" s="15" t="s">
        <v>45</v>
      </c>
      <c r="K163" s="15" t="n">
        <f aca="false">IFERROR(INDEX(Lookups!$D$3:$D$11,MATCH(H163&amp;"|"&amp;I163,Lookups!$C$3:$C$11,0)),"")</f>
        <v>1</v>
      </c>
      <c r="L163" s="15" t="str">
        <f aca="false">IFERROR(INDEX(Lookups!$H$3:$H$11,MATCH(K163&amp;"|"&amp;J163,Lookups!$G$3:$G$11,0)),"")</f>
        <v>Low</v>
      </c>
      <c r="M163" s="16" t="str">
        <f aca="false">IFERROR(INDEX(Lookups!$L$3:$L$5,MATCH(L163,Lookups!$K$3:$K$5,0)),"")</f>
        <v>Verify by grouped OQ execution or PQ/UAT scenario. No additional design control required beyond standard development and code review.</v>
      </c>
      <c r="N163" s="16" t="str">
        <f aca="false">IFERROR(INDEX(Lookups!$M$3:$M$5,MATCH(L163,Lookups!$K$3:$K$5,0)),"")</f>
        <v>Grouped OQ / PQ-UAT scenario verification</v>
      </c>
      <c r="O163" s="16" t="s">
        <v>100</v>
      </c>
      <c r="P163" s="16" t="str">
        <f aca="false">IFERROR(INDEX(Lookups!$N$3:$N$5,MATCH(L163,Lookups!$K$3:$K$5,0)),"")</f>
        <v>Low</v>
      </c>
      <c r="Q163" s="16"/>
    </row>
    <row r="164" customFormat="false" ht="60" hidden="false" customHeight="true" outlineLevel="0" collapsed="false">
      <c r="A164" s="15" t="s">
        <v>652</v>
      </c>
      <c r="B164" s="15" t="s">
        <v>653</v>
      </c>
      <c r="C164" s="16" t="s">
        <v>646</v>
      </c>
      <c r="D164" s="16" t="s">
        <v>654</v>
      </c>
      <c r="E164" s="15" t="s">
        <v>97</v>
      </c>
      <c r="F164" s="15" t="s">
        <v>98</v>
      </c>
      <c r="G164" s="16" t="s">
        <v>648</v>
      </c>
      <c r="H164" s="15" t="s">
        <v>45</v>
      </c>
      <c r="I164" s="15" t="s">
        <v>47</v>
      </c>
      <c r="J164" s="15" t="s">
        <v>45</v>
      </c>
      <c r="K164" s="15" t="n">
        <f aca="false">IFERROR(INDEX(Lookups!$D$3:$D$11,MATCH(H164&amp;"|"&amp;I164,Lookups!$C$3:$C$11,0)),"")</f>
        <v>1</v>
      </c>
      <c r="L164" s="15" t="str">
        <f aca="false">IFERROR(INDEX(Lookups!$H$3:$H$11,MATCH(K164&amp;"|"&amp;J164,Lookups!$G$3:$G$11,0)),"")</f>
        <v>Low</v>
      </c>
      <c r="M164" s="16" t="str">
        <f aca="false">IFERROR(INDEX(Lookups!$L$3:$L$5,MATCH(L164,Lookups!$K$3:$K$5,0)),"")</f>
        <v>Verify by grouped OQ execution or PQ/UAT scenario. No additional design control required beyond standard development and code review.</v>
      </c>
      <c r="N164" s="16" t="str">
        <f aca="false">IFERROR(INDEX(Lookups!$M$3:$M$5,MATCH(L164,Lookups!$K$3:$K$5,0)),"")</f>
        <v>Grouped OQ / PQ-UAT scenario verification</v>
      </c>
      <c r="O164" s="16" t="s">
        <v>100</v>
      </c>
      <c r="P164" s="16" t="str">
        <f aca="false">IFERROR(INDEX(Lookups!$N$3:$N$5,MATCH(L164,Lookups!$K$3:$K$5,0)),"")</f>
        <v>Low</v>
      </c>
      <c r="Q164" s="16"/>
    </row>
    <row r="165" customFormat="false" ht="60" hidden="false" customHeight="true" outlineLevel="0" collapsed="false">
      <c r="A165" s="15" t="s">
        <v>655</v>
      </c>
      <c r="B165" s="15" t="s">
        <v>656</v>
      </c>
      <c r="C165" s="16" t="s">
        <v>657</v>
      </c>
      <c r="D165" s="16" t="s">
        <v>658</v>
      </c>
      <c r="E165" s="15" t="s">
        <v>97</v>
      </c>
      <c r="F165" s="15" t="s">
        <v>98</v>
      </c>
      <c r="G165" s="16" t="s">
        <v>659</v>
      </c>
      <c r="H165" s="15" t="s">
        <v>43</v>
      </c>
      <c r="I165" s="15" t="s">
        <v>45</v>
      </c>
      <c r="J165" s="15" t="s">
        <v>45</v>
      </c>
      <c r="K165" s="15" t="n">
        <f aca="false">IFERROR(INDEX(Lookups!$D$3:$D$11,MATCH(H165&amp;"|"&amp;I165,Lookups!$C$3:$C$11,0)),"")</f>
        <v>3</v>
      </c>
      <c r="L165" s="15" t="str">
        <f aca="false">IFERROR(INDEX(Lookups!$H$3:$H$11,MATCH(K165&amp;"|"&amp;J165,Lookups!$G$3:$G$11,0)),"")</f>
        <v>High</v>
      </c>
      <c r="M165" s="16" t="str">
        <f aca="false">IFERROR(INDEX(Lookups!$L$3:$L$5,MATCH(L165,Lookups!$K$3:$K$5,0)),"")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165" s="16" t="str">
        <f aca="false">IFERROR(INDEX(Lookups!$M$3:$M$5,MATCH(L165,Lookups!$K$3:$K$5,0)),"")</f>
        <v>Individual OQ test case — positive and negative testing, executed and witnessed</v>
      </c>
      <c r="O165" s="16" t="s">
        <v>100</v>
      </c>
      <c r="P165" s="16" t="str">
        <f aca="false">IFERROR(INDEX(Lookups!$N$3:$N$5,MATCH(L165,Lookups!$K$3:$K$5,0)),"")</f>
        <v>Medium (to be confirmed after test execution)</v>
      </c>
      <c r="Q165" s="16"/>
    </row>
    <row r="166" customFormat="false" ht="60" hidden="false" customHeight="true" outlineLevel="0" collapsed="false">
      <c r="A166" s="15" t="s">
        <v>660</v>
      </c>
      <c r="B166" s="15" t="s">
        <v>661</v>
      </c>
      <c r="C166" s="16" t="s">
        <v>657</v>
      </c>
      <c r="D166" s="16" t="s">
        <v>662</v>
      </c>
      <c r="E166" s="15" t="s">
        <v>97</v>
      </c>
      <c r="F166" s="15" t="s">
        <v>98</v>
      </c>
      <c r="G166" s="16" t="s">
        <v>659</v>
      </c>
      <c r="H166" s="15" t="s">
        <v>43</v>
      </c>
      <c r="I166" s="15" t="s">
        <v>45</v>
      </c>
      <c r="J166" s="15" t="s">
        <v>45</v>
      </c>
      <c r="K166" s="15" t="n">
        <f aca="false">IFERROR(INDEX(Lookups!$D$3:$D$11,MATCH(H166&amp;"|"&amp;I166,Lookups!$C$3:$C$11,0)),"")</f>
        <v>3</v>
      </c>
      <c r="L166" s="15" t="str">
        <f aca="false">IFERROR(INDEX(Lookups!$H$3:$H$11,MATCH(K166&amp;"|"&amp;J166,Lookups!$G$3:$G$11,0)),"")</f>
        <v>High</v>
      </c>
      <c r="M166" s="16" t="str">
        <f aca="false">IFERROR(INDEX(Lookups!$L$3:$L$5,MATCH(L166,Lookups!$K$3:$K$5,0)),"")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166" s="16" t="str">
        <f aca="false">IFERROR(INDEX(Lookups!$M$3:$M$5,MATCH(L166,Lookups!$K$3:$K$5,0)),"")</f>
        <v>Individual OQ test case — positive and negative testing, executed and witnessed</v>
      </c>
      <c r="O166" s="16" t="s">
        <v>100</v>
      </c>
      <c r="P166" s="16" t="str">
        <f aca="false">IFERROR(INDEX(Lookups!$N$3:$N$5,MATCH(L166,Lookups!$K$3:$K$5,0)),"")</f>
        <v>Medium (to be confirmed after test execution)</v>
      </c>
      <c r="Q166" s="16"/>
    </row>
    <row r="167" customFormat="false" ht="60" hidden="false" customHeight="true" outlineLevel="0" collapsed="false">
      <c r="A167" s="15" t="s">
        <v>663</v>
      </c>
      <c r="B167" s="15" t="s">
        <v>664</v>
      </c>
      <c r="C167" s="16" t="s">
        <v>657</v>
      </c>
      <c r="D167" s="16" t="s">
        <v>665</v>
      </c>
      <c r="E167" s="15" t="s">
        <v>97</v>
      </c>
      <c r="F167" s="15" t="s">
        <v>98</v>
      </c>
      <c r="G167" s="16" t="s">
        <v>666</v>
      </c>
      <c r="H167" s="15" t="s">
        <v>43</v>
      </c>
      <c r="I167" s="15" t="s">
        <v>47</v>
      </c>
      <c r="J167" s="15" t="s">
        <v>47</v>
      </c>
      <c r="K167" s="15" t="n">
        <f aca="false">IFERROR(INDEX(Lookups!$D$3:$D$11,MATCH(H167&amp;"|"&amp;I167,Lookups!$C$3:$C$11,0)),"")</f>
        <v>2</v>
      </c>
      <c r="L167" s="15" t="str">
        <f aca="false">IFERROR(INDEX(Lookups!$H$3:$H$11,MATCH(K167&amp;"|"&amp;J167,Lookups!$G$3:$G$11,0)),"")</f>
        <v>High</v>
      </c>
      <c r="M167" s="16" t="str">
        <f aca="false">IFERROR(INDEX(Lookups!$L$3:$L$5,MATCH(L167,Lookups!$K$3:$K$5,0)),"")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167" s="16" t="str">
        <f aca="false">IFERROR(INDEX(Lookups!$M$3:$M$5,MATCH(L167,Lookups!$K$3:$K$5,0)),"")</f>
        <v>Individual OQ test case — positive and negative testing, executed and witnessed</v>
      </c>
      <c r="O167" s="16" t="s">
        <v>100</v>
      </c>
      <c r="P167" s="16" t="str">
        <f aca="false">IFERROR(INDEX(Lookups!$N$3:$N$5,MATCH(L167,Lookups!$K$3:$K$5,0)),"")</f>
        <v>Medium (to be confirmed after test execution)</v>
      </c>
      <c r="Q167" s="16"/>
    </row>
    <row r="168" customFormat="false" ht="60" hidden="false" customHeight="true" outlineLevel="0" collapsed="false">
      <c r="A168" s="15" t="s">
        <v>667</v>
      </c>
      <c r="B168" s="15" t="s">
        <v>668</v>
      </c>
      <c r="C168" s="16" t="s">
        <v>657</v>
      </c>
      <c r="D168" s="16" t="s">
        <v>669</v>
      </c>
      <c r="E168" s="15" t="s">
        <v>97</v>
      </c>
      <c r="F168" s="15" t="s">
        <v>98</v>
      </c>
      <c r="G168" s="16" t="s">
        <v>659</v>
      </c>
      <c r="H168" s="15" t="s">
        <v>45</v>
      </c>
      <c r="I168" s="15" t="s">
        <v>45</v>
      </c>
      <c r="J168" s="15" t="s">
        <v>45</v>
      </c>
      <c r="K168" s="15" t="n">
        <f aca="false">IFERROR(INDEX(Lookups!$D$3:$D$11,MATCH(H168&amp;"|"&amp;I168,Lookups!$C$3:$C$11,0)),"")</f>
        <v>2</v>
      </c>
      <c r="L168" s="15" t="str">
        <f aca="false">IFERROR(INDEX(Lookups!$H$3:$H$11,MATCH(K168&amp;"|"&amp;J168,Lookups!$G$3:$G$11,0)),"")</f>
        <v>Medium</v>
      </c>
      <c r="M168" s="16" t="str">
        <f aca="false">IFERROR(INDEX(Lookups!$L$3:$L$5,MATCH(L168,Lookups!$K$3:$K$5,0)),"")</f>
        <v>Specify in the Functional Specification and verify by individual OQ test case (positive testing). Procedural control where user judgement is involved.</v>
      </c>
      <c r="N168" s="16" t="str">
        <f aca="false">IFERROR(INDEX(Lookups!$M$3:$M$5,MATCH(L168,Lookups!$K$3:$K$5,0)),"")</f>
        <v>Individual OQ test case — positive testing</v>
      </c>
      <c r="O168" s="16" t="s">
        <v>100</v>
      </c>
      <c r="P168" s="16" t="str">
        <f aca="false">IFERROR(INDEX(Lookups!$N$3:$N$5,MATCH(L168,Lookups!$K$3:$K$5,0)),"")</f>
        <v>Low</v>
      </c>
      <c r="Q168" s="16"/>
    </row>
    <row r="169" customFormat="false" ht="60" hidden="false" customHeight="true" outlineLevel="0" collapsed="false">
      <c r="A169" s="15" t="s">
        <v>670</v>
      </c>
      <c r="B169" s="15" t="s">
        <v>671</v>
      </c>
      <c r="C169" s="16" t="s">
        <v>657</v>
      </c>
      <c r="D169" s="16" t="s">
        <v>672</v>
      </c>
      <c r="E169" s="15" t="s">
        <v>97</v>
      </c>
      <c r="F169" s="15" t="s">
        <v>98</v>
      </c>
      <c r="G169" s="16" t="s">
        <v>659</v>
      </c>
      <c r="H169" s="15" t="s">
        <v>45</v>
      </c>
      <c r="I169" s="15" t="s">
        <v>45</v>
      </c>
      <c r="J169" s="15" t="s">
        <v>45</v>
      </c>
      <c r="K169" s="15" t="n">
        <f aca="false">IFERROR(INDEX(Lookups!$D$3:$D$11,MATCH(H169&amp;"|"&amp;I169,Lookups!$C$3:$C$11,0)),"")</f>
        <v>2</v>
      </c>
      <c r="L169" s="15" t="str">
        <f aca="false">IFERROR(INDEX(Lookups!$H$3:$H$11,MATCH(K169&amp;"|"&amp;J169,Lookups!$G$3:$G$11,0)),"")</f>
        <v>Medium</v>
      </c>
      <c r="M169" s="16" t="str">
        <f aca="false">IFERROR(INDEX(Lookups!$L$3:$L$5,MATCH(L169,Lookups!$K$3:$K$5,0)),"")</f>
        <v>Specify in the Functional Specification and verify by individual OQ test case (positive testing). Procedural control where user judgement is involved.</v>
      </c>
      <c r="N169" s="16" t="str">
        <f aca="false">IFERROR(INDEX(Lookups!$M$3:$M$5,MATCH(L169,Lookups!$K$3:$K$5,0)),"")</f>
        <v>Individual OQ test case — positive testing</v>
      </c>
      <c r="O169" s="16" t="s">
        <v>100</v>
      </c>
      <c r="P169" s="16" t="str">
        <f aca="false">IFERROR(INDEX(Lookups!$N$3:$N$5,MATCH(L169,Lookups!$K$3:$K$5,0)),"")</f>
        <v>Low</v>
      </c>
      <c r="Q169" s="16"/>
    </row>
    <row r="170" customFormat="false" ht="60" hidden="false" customHeight="true" outlineLevel="0" collapsed="false">
      <c r="A170" s="15" t="s">
        <v>673</v>
      </c>
      <c r="B170" s="15" t="s">
        <v>674</v>
      </c>
      <c r="C170" s="16" t="s">
        <v>657</v>
      </c>
      <c r="D170" s="16" t="s">
        <v>675</v>
      </c>
      <c r="E170" s="15" t="s">
        <v>97</v>
      </c>
      <c r="F170" s="15" t="s">
        <v>98</v>
      </c>
      <c r="G170" s="16" t="s">
        <v>659</v>
      </c>
      <c r="H170" s="15" t="s">
        <v>43</v>
      </c>
      <c r="I170" s="15" t="s">
        <v>45</v>
      </c>
      <c r="J170" s="15" t="s">
        <v>47</v>
      </c>
      <c r="K170" s="15" t="n">
        <f aca="false">IFERROR(INDEX(Lookups!$D$3:$D$11,MATCH(H170&amp;"|"&amp;I170,Lookups!$C$3:$C$11,0)),"")</f>
        <v>3</v>
      </c>
      <c r="L170" s="15" t="str">
        <f aca="false">IFERROR(INDEX(Lookups!$H$3:$H$11,MATCH(K170&amp;"|"&amp;J170,Lookups!$G$3:$G$11,0)),"")</f>
        <v>High</v>
      </c>
      <c r="M170" s="16" t="str">
        <f aca="false">IFERROR(INDEX(Lookups!$L$3:$L$5,MATCH(L170,Lookups!$K$3:$K$5,0)),"")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170" s="16" t="str">
        <f aca="false">IFERROR(INDEX(Lookups!$M$3:$M$5,MATCH(L170,Lookups!$K$3:$K$5,0)),"")</f>
        <v>Individual OQ test case — positive and negative testing, executed and witnessed</v>
      </c>
      <c r="O170" s="16" t="s">
        <v>100</v>
      </c>
      <c r="P170" s="16" t="str">
        <f aca="false">IFERROR(INDEX(Lookups!$N$3:$N$5,MATCH(L170,Lookups!$K$3:$K$5,0)),"")</f>
        <v>Medium (to be confirmed after test execution)</v>
      </c>
      <c r="Q170" s="16"/>
    </row>
    <row r="171" customFormat="false" ht="60" hidden="false" customHeight="true" outlineLevel="0" collapsed="false">
      <c r="A171" s="15" t="s">
        <v>676</v>
      </c>
      <c r="B171" s="15" t="s">
        <v>677</v>
      </c>
      <c r="C171" s="16" t="s">
        <v>678</v>
      </c>
      <c r="D171" s="16" t="s">
        <v>679</v>
      </c>
      <c r="E171" s="15" t="s">
        <v>97</v>
      </c>
      <c r="F171" s="15" t="s">
        <v>98</v>
      </c>
      <c r="G171" s="16" t="s">
        <v>680</v>
      </c>
      <c r="H171" s="15" t="s">
        <v>43</v>
      </c>
      <c r="I171" s="15" t="s">
        <v>43</v>
      </c>
      <c r="J171" s="15" t="s">
        <v>47</v>
      </c>
      <c r="K171" s="15" t="n">
        <f aca="false">IFERROR(INDEX(Lookups!$D$3:$D$11,MATCH(H171&amp;"|"&amp;I171,Lookups!$C$3:$C$11,0)),"")</f>
        <v>3</v>
      </c>
      <c r="L171" s="15" t="str">
        <f aca="false">IFERROR(INDEX(Lookups!$H$3:$H$11,MATCH(K171&amp;"|"&amp;J171,Lookups!$G$3:$G$11,0)),"")</f>
        <v>High</v>
      </c>
      <c r="M171" s="16" t="str">
        <f aca="false">IFERROR(INDEX(Lookups!$L$3:$L$5,MATCH(L171,Lookups!$K$3:$K$5,0)),"")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171" s="16" t="str">
        <f aca="false">IFERROR(INDEX(Lookups!$M$3:$M$5,MATCH(L171,Lookups!$K$3:$K$5,0)),"")</f>
        <v>Individual OQ test case — positive and negative testing, executed and witnessed</v>
      </c>
      <c r="O171" s="16" t="s">
        <v>100</v>
      </c>
      <c r="P171" s="16" t="str">
        <f aca="false">IFERROR(INDEX(Lookups!$N$3:$N$5,MATCH(L171,Lookups!$K$3:$K$5,0)),"")</f>
        <v>Medium (to be confirmed after test execution)</v>
      </c>
      <c r="Q171" s="16"/>
    </row>
    <row r="172" customFormat="false" ht="60" hidden="false" customHeight="true" outlineLevel="0" collapsed="false">
      <c r="A172" s="15" t="s">
        <v>681</v>
      </c>
      <c r="B172" s="15" t="s">
        <v>682</v>
      </c>
      <c r="C172" s="16" t="s">
        <v>678</v>
      </c>
      <c r="D172" s="16" t="s">
        <v>683</v>
      </c>
      <c r="E172" s="15" t="s">
        <v>97</v>
      </c>
      <c r="F172" s="15" t="s">
        <v>98</v>
      </c>
      <c r="G172" s="16" t="s">
        <v>684</v>
      </c>
      <c r="H172" s="15" t="s">
        <v>45</v>
      </c>
      <c r="I172" s="15" t="s">
        <v>47</v>
      </c>
      <c r="J172" s="15" t="s">
        <v>45</v>
      </c>
      <c r="K172" s="15" t="n">
        <f aca="false">IFERROR(INDEX(Lookups!$D$3:$D$11,MATCH(H172&amp;"|"&amp;I172,Lookups!$C$3:$C$11,0)),"")</f>
        <v>1</v>
      </c>
      <c r="L172" s="15" t="str">
        <f aca="false">IFERROR(INDEX(Lookups!$H$3:$H$11,MATCH(K172&amp;"|"&amp;J172,Lookups!$G$3:$G$11,0)),"")</f>
        <v>Low</v>
      </c>
      <c r="M172" s="16" t="str">
        <f aca="false">IFERROR(INDEX(Lookups!$L$3:$L$5,MATCH(L172,Lookups!$K$3:$K$5,0)),"")</f>
        <v>Verify by grouped OQ execution or PQ/UAT scenario. No additional design control required beyond standard development and code review.</v>
      </c>
      <c r="N172" s="16" t="str">
        <f aca="false">IFERROR(INDEX(Lookups!$M$3:$M$5,MATCH(L172,Lookups!$K$3:$K$5,0)),"")</f>
        <v>Grouped OQ / PQ-UAT scenario verification</v>
      </c>
      <c r="O172" s="16" t="s">
        <v>100</v>
      </c>
      <c r="P172" s="16" t="str">
        <f aca="false">IFERROR(INDEX(Lookups!$N$3:$N$5,MATCH(L172,Lookups!$K$3:$K$5,0)),"")</f>
        <v>Low</v>
      </c>
      <c r="Q172" s="16"/>
    </row>
    <row r="173" customFormat="false" ht="60" hidden="false" customHeight="true" outlineLevel="0" collapsed="false">
      <c r="A173" s="15" t="s">
        <v>685</v>
      </c>
      <c r="B173" s="15" t="s">
        <v>686</v>
      </c>
      <c r="C173" s="16" t="s">
        <v>678</v>
      </c>
      <c r="D173" s="16" t="s">
        <v>687</v>
      </c>
      <c r="E173" s="15" t="s">
        <v>97</v>
      </c>
      <c r="F173" s="15" t="s">
        <v>98</v>
      </c>
      <c r="G173" s="16" t="s">
        <v>688</v>
      </c>
      <c r="H173" s="15" t="s">
        <v>43</v>
      </c>
      <c r="I173" s="15" t="s">
        <v>45</v>
      </c>
      <c r="J173" s="15" t="s">
        <v>47</v>
      </c>
      <c r="K173" s="15" t="n">
        <f aca="false">IFERROR(INDEX(Lookups!$D$3:$D$11,MATCH(H173&amp;"|"&amp;I173,Lookups!$C$3:$C$11,0)),"")</f>
        <v>3</v>
      </c>
      <c r="L173" s="15" t="str">
        <f aca="false">IFERROR(INDEX(Lookups!$H$3:$H$11,MATCH(K173&amp;"|"&amp;J173,Lookups!$G$3:$G$11,0)),"")</f>
        <v>High</v>
      </c>
      <c r="M173" s="16" t="str">
        <f aca="false">IFERROR(INDEX(Lookups!$L$3:$L$5,MATCH(L173,Lookups!$K$3:$K$5,0)),"")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173" s="16" t="str">
        <f aca="false">IFERROR(INDEX(Lookups!$M$3:$M$5,MATCH(L173,Lookups!$K$3:$K$5,0)),"")</f>
        <v>Individual OQ test case — positive and negative testing, executed and witnessed</v>
      </c>
      <c r="O173" s="16" t="s">
        <v>100</v>
      </c>
      <c r="P173" s="16" t="str">
        <f aca="false">IFERROR(INDEX(Lookups!$N$3:$N$5,MATCH(L173,Lookups!$K$3:$K$5,0)),"")</f>
        <v>Medium (to be confirmed after test execution)</v>
      </c>
      <c r="Q173" s="16"/>
    </row>
    <row r="174" customFormat="false" ht="60" hidden="false" customHeight="true" outlineLevel="0" collapsed="false">
      <c r="A174" s="15" t="s">
        <v>689</v>
      </c>
      <c r="B174" s="15" t="s">
        <v>690</v>
      </c>
      <c r="C174" s="16" t="s">
        <v>678</v>
      </c>
      <c r="D174" s="16" t="s">
        <v>691</v>
      </c>
      <c r="E174" s="15" t="s">
        <v>97</v>
      </c>
      <c r="F174" s="15" t="s">
        <v>98</v>
      </c>
      <c r="G174" s="16" t="s">
        <v>684</v>
      </c>
      <c r="H174" s="15" t="s">
        <v>43</v>
      </c>
      <c r="I174" s="15" t="s">
        <v>45</v>
      </c>
      <c r="J174" s="15" t="s">
        <v>47</v>
      </c>
      <c r="K174" s="15" t="n">
        <f aca="false">IFERROR(INDEX(Lookups!$D$3:$D$11,MATCH(H174&amp;"|"&amp;I174,Lookups!$C$3:$C$11,0)),"")</f>
        <v>3</v>
      </c>
      <c r="L174" s="15" t="str">
        <f aca="false">IFERROR(INDEX(Lookups!$H$3:$H$11,MATCH(K174&amp;"|"&amp;J174,Lookups!$G$3:$G$11,0)),"")</f>
        <v>High</v>
      </c>
      <c r="M174" s="16" t="str">
        <f aca="false">IFERROR(INDEX(Lookups!$L$3:$L$5,MATCH(L174,Lookups!$K$3:$K$5,0)),"")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174" s="16" t="str">
        <f aca="false">IFERROR(INDEX(Lookups!$M$3:$M$5,MATCH(L174,Lookups!$K$3:$K$5,0)),"")</f>
        <v>Individual OQ test case — positive and negative testing, executed and witnessed</v>
      </c>
      <c r="O174" s="16" t="s">
        <v>100</v>
      </c>
      <c r="P174" s="16" t="str">
        <f aca="false">IFERROR(INDEX(Lookups!$N$3:$N$5,MATCH(L174,Lookups!$K$3:$K$5,0)),"")</f>
        <v>Medium (to be confirmed after test execution)</v>
      </c>
      <c r="Q174" s="16"/>
    </row>
    <row r="175" customFormat="false" ht="60" hidden="false" customHeight="true" outlineLevel="0" collapsed="false">
      <c r="A175" s="15" t="s">
        <v>692</v>
      </c>
      <c r="B175" s="15" t="s">
        <v>693</v>
      </c>
      <c r="C175" s="16" t="s">
        <v>678</v>
      </c>
      <c r="D175" s="16" t="s">
        <v>694</v>
      </c>
      <c r="E175" s="15" t="s">
        <v>97</v>
      </c>
      <c r="F175" s="15" t="s">
        <v>98</v>
      </c>
      <c r="G175" s="16" t="s">
        <v>684</v>
      </c>
      <c r="H175" s="15" t="s">
        <v>43</v>
      </c>
      <c r="I175" s="15" t="s">
        <v>45</v>
      </c>
      <c r="J175" s="15" t="s">
        <v>47</v>
      </c>
      <c r="K175" s="15" t="n">
        <f aca="false">IFERROR(INDEX(Lookups!$D$3:$D$11,MATCH(H175&amp;"|"&amp;I175,Lookups!$C$3:$C$11,0)),"")</f>
        <v>3</v>
      </c>
      <c r="L175" s="15" t="str">
        <f aca="false">IFERROR(INDEX(Lookups!$H$3:$H$11,MATCH(K175&amp;"|"&amp;J175,Lookups!$G$3:$G$11,0)),"")</f>
        <v>High</v>
      </c>
      <c r="M175" s="16" t="str">
        <f aca="false">IFERROR(INDEX(Lookups!$L$3:$L$5,MATCH(L175,Lookups!$K$3:$K$5,0)),"")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175" s="16" t="str">
        <f aca="false">IFERROR(INDEX(Lookups!$M$3:$M$5,MATCH(L175,Lookups!$K$3:$K$5,0)),"")</f>
        <v>Individual OQ test case — positive and negative testing, executed and witnessed</v>
      </c>
      <c r="O175" s="16" t="s">
        <v>100</v>
      </c>
      <c r="P175" s="16" t="str">
        <f aca="false">IFERROR(INDEX(Lookups!$N$3:$N$5,MATCH(L175,Lookups!$K$3:$K$5,0)),"")</f>
        <v>Medium (to be confirmed after test execution)</v>
      </c>
      <c r="Q175" s="16"/>
    </row>
    <row r="176" customFormat="false" ht="60" hidden="false" customHeight="true" outlineLevel="0" collapsed="false">
      <c r="A176" s="15" t="s">
        <v>695</v>
      </c>
      <c r="B176" s="15" t="s">
        <v>696</v>
      </c>
      <c r="C176" s="16" t="s">
        <v>678</v>
      </c>
      <c r="D176" s="16" t="s">
        <v>697</v>
      </c>
      <c r="E176" s="15" t="s">
        <v>97</v>
      </c>
      <c r="F176" s="15" t="s">
        <v>98</v>
      </c>
      <c r="G176" s="16" t="s">
        <v>684</v>
      </c>
      <c r="H176" s="15" t="s">
        <v>43</v>
      </c>
      <c r="I176" s="15" t="s">
        <v>45</v>
      </c>
      <c r="J176" s="15" t="s">
        <v>45</v>
      </c>
      <c r="K176" s="15" t="n">
        <f aca="false">IFERROR(INDEX(Lookups!$D$3:$D$11,MATCH(H176&amp;"|"&amp;I176,Lookups!$C$3:$C$11,0)),"")</f>
        <v>3</v>
      </c>
      <c r="L176" s="15" t="str">
        <f aca="false">IFERROR(INDEX(Lookups!$H$3:$H$11,MATCH(K176&amp;"|"&amp;J176,Lookups!$G$3:$G$11,0)),"")</f>
        <v>High</v>
      </c>
      <c r="M176" s="16" t="str">
        <f aca="false">IFERROR(INDEX(Lookups!$L$3:$L$5,MATCH(L176,Lookups!$K$3:$K$5,0)),"")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176" s="16" t="str">
        <f aca="false">IFERROR(INDEX(Lookups!$M$3:$M$5,MATCH(L176,Lookups!$K$3:$K$5,0)),"")</f>
        <v>Individual OQ test case — positive and negative testing, executed and witnessed</v>
      </c>
      <c r="O176" s="16" t="s">
        <v>100</v>
      </c>
      <c r="P176" s="16" t="str">
        <f aca="false">IFERROR(INDEX(Lookups!$N$3:$N$5,MATCH(L176,Lookups!$K$3:$K$5,0)),"")</f>
        <v>Medium (to be confirmed after test execution)</v>
      </c>
      <c r="Q176" s="16"/>
    </row>
    <row r="177" customFormat="false" ht="60" hidden="false" customHeight="true" outlineLevel="0" collapsed="false">
      <c r="A177" s="15" t="s">
        <v>698</v>
      </c>
      <c r="B177" s="15" t="s">
        <v>699</v>
      </c>
      <c r="C177" s="16" t="s">
        <v>678</v>
      </c>
      <c r="D177" s="16" t="s">
        <v>700</v>
      </c>
      <c r="E177" s="15" t="s">
        <v>97</v>
      </c>
      <c r="F177" s="15" t="s">
        <v>98</v>
      </c>
      <c r="G177" s="16" t="s">
        <v>684</v>
      </c>
      <c r="H177" s="15" t="s">
        <v>43</v>
      </c>
      <c r="I177" s="15" t="s">
        <v>45</v>
      </c>
      <c r="J177" s="15" t="s">
        <v>45</v>
      </c>
      <c r="K177" s="15" t="n">
        <f aca="false">IFERROR(INDEX(Lookups!$D$3:$D$11,MATCH(H177&amp;"|"&amp;I177,Lookups!$C$3:$C$11,0)),"")</f>
        <v>3</v>
      </c>
      <c r="L177" s="15" t="str">
        <f aca="false">IFERROR(INDEX(Lookups!$H$3:$H$11,MATCH(K177&amp;"|"&amp;J177,Lookups!$G$3:$G$11,0)),"")</f>
        <v>High</v>
      </c>
      <c r="M177" s="16" t="str">
        <f aca="false">IFERROR(INDEX(Lookups!$L$3:$L$5,MATCH(L177,Lookups!$K$3:$K$5,0)),"")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177" s="16" t="str">
        <f aca="false">IFERROR(INDEX(Lookups!$M$3:$M$5,MATCH(L177,Lookups!$K$3:$K$5,0)),"")</f>
        <v>Individual OQ test case — positive and negative testing, executed and witnessed</v>
      </c>
      <c r="O177" s="16" t="s">
        <v>100</v>
      </c>
      <c r="P177" s="16" t="str">
        <f aca="false">IFERROR(INDEX(Lookups!$N$3:$N$5,MATCH(L177,Lookups!$K$3:$K$5,0)),"")</f>
        <v>Medium (to be confirmed after test execution)</v>
      </c>
      <c r="Q177" s="16"/>
    </row>
    <row r="178" customFormat="false" ht="60" hidden="false" customHeight="true" outlineLevel="0" collapsed="false">
      <c r="A178" s="15" t="s">
        <v>701</v>
      </c>
      <c r="B178" s="15" t="s">
        <v>702</v>
      </c>
      <c r="C178" s="16" t="s">
        <v>703</v>
      </c>
      <c r="D178" s="16" t="s">
        <v>704</v>
      </c>
      <c r="E178" s="15" t="s">
        <v>97</v>
      </c>
      <c r="F178" s="15" t="s">
        <v>98</v>
      </c>
      <c r="G178" s="16" t="s">
        <v>705</v>
      </c>
      <c r="H178" s="15" t="s">
        <v>43</v>
      </c>
      <c r="I178" s="15" t="s">
        <v>43</v>
      </c>
      <c r="J178" s="15" t="s">
        <v>47</v>
      </c>
      <c r="K178" s="15" t="n">
        <f aca="false">IFERROR(INDEX(Lookups!$D$3:$D$11,MATCH(H178&amp;"|"&amp;I178,Lookups!$C$3:$C$11,0)),"")</f>
        <v>3</v>
      </c>
      <c r="L178" s="15" t="str">
        <f aca="false">IFERROR(INDEX(Lookups!$H$3:$H$11,MATCH(K178&amp;"|"&amp;J178,Lookups!$G$3:$G$11,0)),"")</f>
        <v>High</v>
      </c>
      <c r="M178" s="16" t="str">
        <f aca="false">IFERROR(INDEX(Lookups!$L$3:$L$5,MATCH(L178,Lookups!$K$3:$K$5,0)),"")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178" s="16" t="str">
        <f aca="false">IFERROR(INDEX(Lookups!$M$3:$M$5,MATCH(L178,Lookups!$K$3:$K$5,0)),"")</f>
        <v>Individual OQ test case — positive and negative testing, executed and witnessed</v>
      </c>
      <c r="O178" s="16" t="s">
        <v>100</v>
      </c>
      <c r="P178" s="16" t="str">
        <f aca="false">IFERROR(INDEX(Lookups!$N$3:$N$5,MATCH(L178,Lookups!$K$3:$K$5,0)),"")</f>
        <v>Medium (to be confirmed after test execution)</v>
      </c>
      <c r="Q178" s="16"/>
    </row>
    <row r="179" customFormat="false" ht="60" hidden="false" customHeight="true" outlineLevel="0" collapsed="false">
      <c r="A179" s="15" t="s">
        <v>706</v>
      </c>
      <c r="B179" s="15" t="s">
        <v>707</v>
      </c>
      <c r="C179" s="16" t="s">
        <v>703</v>
      </c>
      <c r="D179" s="16" t="s">
        <v>708</v>
      </c>
      <c r="E179" s="15" t="s">
        <v>97</v>
      </c>
      <c r="F179" s="15" t="s">
        <v>98</v>
      </c>
      <c r="G179" s="16" t="s">
        <v>705</v>
      </c>
      <c r="H179" s="15" t="s">
        <v>43</v>
      </c>
      <c r="I179" s="15" t="s">
        <v>43</v>
      </c>
      <c r="J179" s="15" t="s">
        <v>47</v>
      </c>
      <c r="K179" s="15" t="n">
        <f aca="false">IFERROR(INDEX(Lookups!$D$3:$D$11,MATCH(H179&amp;"|"&amp;I179,Lookups!$C$3:$C$11,0)),"")</f>
        <v>3</v>
      </c>
      <c r="L179" s="15" t="str">
        <f aca="false">IFERROR(INDEX(Lookups!$H$3:$H$11,MATCH(K179&amp;"|"&amp;J179,Lookups!$G$3:$G$11,0)),"")</f>
        <v>High</v>
      </c>
      <c r="M179" s="16" t="str">
        <f aca="false">IFERROR(INDEX(Lookups!$L$3:$L$5,MATCH(L179,Lookups!$K$3:$K$5,0)),"")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179" s="16" t="str">
        <f aca="false">IFERROR(INDEX(Lookups!$M$3:$M$5,MATCH(L179,Lookups!$K$3:$K$5,0)),"")</f>
        <v>Individual OQ test case — positive and negative testing, executed and witnessed</v>
      </c>
      <c r="O179" s="16" t="s">
        <v>100</v>
      </c>
      <c r="P179" s="16" t="str">
        <f aca="false">IFERROR(INDEX(Lookups!$N$3:$N$5,MATCH(L179,Lookups!$K$3:$K$5,0)),"")</f>
        <v>Medium (to be confirmed after test execution)</v>
      </c>
      <c r="Q179" s="16"/>
    </row>
    <row r="180" customFormat="false" ht="60" hidden="false" customHeight="true" outlineLevel="0" collapsed="false">
      <c r="A180" s="15" t="s">
        <v>709</v>
      </c>
      <c r="B180" s="15" t="s">
        <v>710</v>
      </c>
      <c r="C180" s="16" t="s">
        <v>703</v>
      </c>
      <c r="D180" s="16" t="s">
        <v>711</v>
      </c>
      <c r="E180" s="15" t="s">
        <v>97</v>
      </c>
      <c r="F180" s="15" t="s">
        <v>98</v>
      </c>
      <c r="G180" s="16" t="s">
        <v>705</v>
      </c>
      <c r="H180" s="15" t="s">
        <v>45</v>
      </c>
      <c r="I180" s="15" t="s">
        <v>43</v>
      </c>
      <c r="J180" s="15" t="s">
        <v>47</v>
      </c>
      <c r="K180" s="15" t="n">
        <f aca="false">IFERROR(INDEX(Lookups!$D$3:$D$11,MATCH(H180&amp;"|"&amp;I180,Lookups!$C$3:$C$11,0)),"")</f>
        <v>3</v>
      </c>
      <c r="L180" s="15" t="str">
        <f aca="false">IFERROR(INDEX(Lookups!$H$3:$H$11,MATCH(K180&amp;"|"&amp;J180,Lookups!$G$3:$G$11,0)),"")</f>
        <v>High</v>
      </c>
      <c r="M180" s="16" t="str">
        <f aca="false">IFERROR(INDEX(Lookups!$L$3:$L$5,MATCH(L180,Lookups!$K$3:$K$5,0)),"")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180" s="16" t="str">
        <f aca="false">IFERROR(INDEX(Lookups!$M$3:$M$5,MATCH(L180,Lookups!$K$3:$K$5,0)),"")</f>
        <v>Individual OQ test case — positive and negative testing, executed and witnessed</v>
      </c>
      <c r="O180" s="16" t="s">
        <v>100</v>
      </c>
      <c r="P180" s="16" t="str">
        <f aca="false">IFERROR(INDEX(Lookups!$N$3:$N$5,MATCH(L180,Lookups!$K$3:$K$5,0)),"")</f>
        <v>Medium (to be confirmed after test execution)</v>
      </c>
      <c r="Q180" s="16"/>
    </row>
    <row r="181" customFormat="false" ht="60" hidden="false" customHeight="true" outlineLevel="0" collapsed="false">
      <c r="A181" s="15" t="s">
        <v>712</v>
      </c>
      <c r="B181" s="15" t="s">
        <v>713</v>
      </c>
      <c r="C181" s="16" t="s">
        <v>703</v>
      </c>
      <c r="D181" s="16" t="s">
        <v>714</v>
      </c>
      <c r="E181" s="15" t="s">
        <v>97</v>
      </c>
      <c r="F181" s="15" t="s">
        <v>98</v>
      </c>
      <c r="G181" s="16" t="s">
        <v>705</v>
      </c>
      <c r="H181" s="15" t="s">
        <v>43</v>
      </c>
      <c r="I181" s="15" t="s">
        <v>43</v>
      </c>
      <c r="J181" s="15" t="s">
        <v>47</v>
      </c>
      <c r="K181" s="15" t="n">
        <f aca="false">IFERROR(INDEX(Lookups!$D$3:$D$11,MATCH(H181&amp;"|"&amp;I181,Lookups!$C$3:$C$11,0)),"")</f>
        <v>3</v>
      </c>
      <c r="L181" s="15" t="str">
        <f aca="false">IFERROR(INDEX(Lookups!$H$3:$H$11,MATCH(K181&amp;"|"&amp;J181,Lookups!$G$3:$G$11,0)),"")</f>
        <v>High</v>
      </c>
      <c r="M181" s="16" t="str">
        <f aca="false">IFERROR(INDEX(Lookups!$L$3:$L$5,MATCH(L181,Lookups!$K$3:$K$5,0)),"")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181" s="16" t="str">
        <f aca="false">IFERROR(INDEX(Lookups!$M$3:$M$5,MATCH(L181,Lookups!$K$3:$K$5,0)),"")</f>
        <v>Individual OQ test case — positive and negative testing, executed and witnessed</v>
      </c>
      <c r="O181" s="16" t="s">
        <v>100</v>
      </c>
      <c r="P181" s="16" t="str">
        <f aca="false">IFERROR(INDEX(Lookups!$N$3:$N$5,MATCH(L181,Lookups!$K$3:$K$5,0)),"")</f>
        <v>Medium (to be confirmed after test execution)</v>
      </c>
      <c r="Q181" s="16"/>
    </row>
    <row r="182" customFormat="false" ht="60" hidden="false" customHeight="true" outlineLevel="0" collapsed="false">
      <c r="A182" s="15" t="s">
        <v>715</v>
      </c>
      <c r="B182" s="15" t="s">
        <v>716</v>
      </c>
      <c r="C182" s="16" t="s">
        <v>703</v>
      </c>
      <c r="D182" s="16" t="s">
        <v>717</v>
      </c>
      <c r="E182" s="15" t="s">
        <v>97</v>
      </c>
      <c r="F182" s="15" t="s">
        <v>98</v>
      </c>
      <c r="G182" s="16" t="s">
        <v>718</v>
      </c>
      <c r="H182" s="15" t="s">
        <v>43</v>
      </c>
      <c r="I182" s="15" t="s">
        <v>43</v>
      </c>
      <c r="J182" s="15" t="s">
        <v>47</v>
      </c>
      <c r="K182" s="15" t="n">
        <f aca="false">IFERROR(INDEX(Lookups!$D$3:$D$11,MATCH(H182&amp;"|"&amp;I182,Lookups!$C$3:$C$11,0)),"")</f>
        <v>3</v>
      </c>
      <c r="L182" s="15" t="str">
        <f aca="false">IFERROR(INDEX(Lookups!$H$3:$H$11,MATCH(K182&amp;"|"&amp;J182,Lookups!$G$3:$G$11,0)),"")</f>
        <v>High</v>
      </c>
      <c r="M182" s="16" t="str">
        <f aca="false">IFERROR(INDEX(Lookups!$L$3:$L$5,MATCH(L182,Lookups!$K$3:$K$5,0)),"")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182" s="16" t="str">
        <f aca="false">IFERROR(INDEX(Lookups!$M$3:$M$5,MATCH(L182,Lookups!$K$3:$K$5,0)),"")</f>
        <v>Individual OQ test case — positive and negative testing, executed and witnessed</v>
      </c>
      <c r="O182" s="16" t="s">
        <v>100</v>
      </c>
      <c r="P182" s="16" t="str">
        <f aca="false">IFERROR(INDEX(Lookups!$N$3:$N$5,MATCH(L182,Lookups!$K$3:$K$5,0)),"")</f>
        <v>Medium (to be confirmed after test execution)</v>
      </c>
      <c r="Q182" s="16"/>
    </row>
    <row r="183" customFormat="false" ht="60" hidden="false" customHeight="true" outlineLevel="0" collapsed="false">
      <c r="A183" s="15" t="s">
        <v>719</v>
      </c>
      <c r="B183" s="15" t="s">
        <v>720</v>
      </c>
      <c r="C183" s="16" t="s">
        <v>703</v>
      </c>
      <c r="D183" s="16" t="s">
        <v>721</v>
      </c>
      <c r="E183" s="15" t="s">
        <v>97</v>
      </c>
      <c r="F183" s="15" t="s">
        <v>98</v>
      </c>
      <c r="G183" s="16" t="s">
        <v>722</v>
      </c>
      <c r="H183" s="15" t="s">
        <v>43</v>
      </c>
      <c r="I183" s="15" t="s">
        <v>45</v>
      </c>
      <c r="J183" s="15" t="s">
        <v>47</v>
      </c>
      <c r="K183" s="15" t="n">
        <f aca="false">IFERROR(INDEX(Lookups!$D$3:$D$11,MATCH(H183&amp;"|"&amp;I183,Lookups!$C$3:$C$11,0)),"")</f>
        <v>3</v>
      </c>
      <c r="L183" s="15" t="str">
        <f aca="false">IFERROR(INDEX(Lookups!$H$3:$H$11,MATCH(K183&amp;"|"&amp;J183,Lookups!$G$3:$G$11,0)),"")</f>
        <v>High</v>
      </c>
      <c r="M183" s="16" t="str">
        <f aca="false">IFERROR(INDEX(Lookups!$L$3:$L$5,MATCH(L183,Lookups!$K$3:$K$5,0)),"")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183" s="16" t="str">
        <f aca="false">IFERROR(INDEX(Lookups!$M$3:$M$5,MATCH(L183,Lookups!$K$3:$K$5,0)),"")</f>
        <v>Individual OQ test case — positive and negative testing, executed and witnessed</v>
      </c>
      <c r="O183" s="16" t="s">
        <v>100</v>
      </c>
      <c r="P183" s="16" t="str">
        <f aca="false">IFERROR(INDEX(Lookups!$N$3:$N$5,MATCH(L183,Lookups!$K$3:$K$5,0)),"")</f>
        <v>Medium (to be confirmed after test execution)</v>
      </c>
      <c r="Q183" s="16"/>
    </row>
    <row r="184" customFormat="false" ht="60" hidden="false" customHeight="true" outlineLevel="0" collapsed="false">
      <c r="A184" s="15" t="s">
        <v>723</v>
      </c>
      <c r="B184" s="15" t="s">
        <v>724</v>
      </c>
      <c r="C184" s="16" t="s">
        <v>703</v>
      </c>
      <c r="D184" s="16" t="s">
        <v>725</v>
      </c>
      <c r="E184" s="15" t="s">
        <v>97</v>
      </c>
      <c r="F184" s="15" t="s">
        <v>98</v>
      </c>
      <c r="G184" s="16" t="s">
        <v>705</v>
      </c>
      <c r="H184" s="15" t="s">
        <v>45</v>
      </c>
      <c r="I184" s="15" t="s">
        <v>43</v>
      </c>
      <c r="J184" s="15" t="s">
        <v>47</v>
      </c>
      <c r="K184" s="15" t="n">
        <f aca="false">IFERROR(INDEX(Lookups!$D$3:$D$11,MATCH(H184&amp;"|"&amp;I184,Lookups!$C$3:$C$11,0)),"")</f>
        <v>3</v>
      </c>
      <c r="L184" s="15" t="str">
        <f aca="false">IFERROR(INDEX(Lookups!$H$3:$H$11,MATCH(K184&amp;"|"&amp;J184,Lookups!$G$3:$G$11,0)),"")</f>
        <v>High</v>
      </c>
      <c r="M184" s="16" t="str">
        <f aca="false">IFERROR(INDEX(Lookups!$L$3:$L$5,MATCH(L184,Lookups!$K$3:$K$5,0)),"")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184" s="16" t="str">
        <f aca="false">IFERROR(INDEX(Lookups!$M$3:$M$5,MATCH(L184,Lookups!$K$3:$K$5,0)),"")</f>
        <v>Individual OQ test case — positive and negative testing, executed and witnessed</v>
      </c>
      <c r="O184" s="16" t="s">
        <v>100</v>
      </c>
      <c r="P184" s="16" t="str">
        <f aca="false">IFERROR(INDEX(Lookups!$N$3:$N$5,MATCH(L184,Lookups!$K$3:$K$5,0)),"")</f>
        <v>Medium (to be confirmed after test execution)</v>
      </c>
      <c r="Q184" s="16"/>
    </row>
    <row r="185" customFormat="false" ht="60" hidden="false" customHeight="true" outlineLevel="0" collapsed="false">
      <c r="A185" s="15" t="s">
        <v>726</v>
      </c>
      <c r="B185" s="15" t="s">
        <v>727</v>
      </c>
      <c r="C185" s="16" t="s">
        <v>728</v>
      </c>
      <c r="D185" s="16" t="s">
        <v>729</v>
      </c>
      <c r="E185" s="15" t="s">
        <v>97</v>
      </c>
      <c r="F185" s="15" t="s">
        <v>98</v>
      </c>
      <c r="G185" s="16" t="s">
        <v>730</v>
      </c>
      <c r="H185" s="15" t="s">
        <v>43</v>
      </c>
      <c r="I185" s="15" t="s">
        <v>47</v>
      </c>
      <c r="J185" s="15" t="s">
        <v>47</v>
      </c>
      <c r="K185" s="15" t="n">
        <f aca="false">IFERROR(INDEX(Lookups!$D$3:$D$11,MATCH(H185&amp;"|"&amp;I185,Lookups!$C$3:$C$11,0)),"")</f>
        <v>2</v>
      </c>
      <c r="L185" s="15" t="str">
        <f aca="false">IFERROR(INDEX(Lookups!$H$3:$H$11,MATCH(K185&amp;"|"&amp;J185,Lookups!$G$3:$G$11,0)),"")</f>
        <v>High</v>
      </c>
      <c r="M185" s="16" t="str">
        <f aca="false">IFERROR(INDEX(Lookups!$L$3:$L$5,MATCH(L185,Lookups!$K$3:$K$5,0)),"")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185" s="16" t="str">
        <f aca="false">IFERROR(INDEX(Lookups!$M$3:$M$5,MATCH(L185,Lookups!$K$3:$K$5,0)),"")</f>
        <v>Individual OQ test case — positive and negative testing, executed and witnessed</v>
      </c>
      <c r="O185" s="16" t="s">
        <v>100</v>
      </c>
      <c r="P185" s="16" t="str">
        <f aca="false">IFERROR(INDEX(Lookups!$N$3:$N$5,MATCH(L185,Lookups!$K$3:$K$5,0)),"")</f>
        <v>Medium (to be confirmed after test execution)</v>
      </c>
      <c r="Q185" s="16"/>
    </row>
    <row r="186" customFormat="false" ht="60" hidden="false" customHeight="true" outlineLevel="0" collapsed="false">
      <c r="A186" s="15" t="s">
        <v>731</v>
      </c>
      <c r="B186" s="15" t="s">
        <v>732</v>
      </c>
      <c r="C186" s="16" t="s">
        <v>728</v>
      </c>
      <c r="D186" s="16" t="s">
        <v>733</v>
      </c>
      <c r="E186" s="15" t="s">
        <v>97</v>
      </c>
      <c r="F186" s="15" t="s">
        <v>98</v>
      </c>
      <c r="G186" s="16" t="s">
        <v>734</v>
      </c>
      <c r="H186" s="15" t="s">
        <v>43</v>
      </c>
      <c r="I186" s="15" t="s">
        <v>45</v>
      </c>
      <c r="J186" s="15" t="s">
        <v>45</v>
      </c>
      <c r="K186" s="15" t="n">
        <f aca="false">IFERROR(INDEX(Lookups!$D$3:$D$11,MATCH(H186&amp;"|"&amp;I186,Lookups!$C$3:$C$11,0)),"")</f>
        <v>3</v>
      </c>
      <c r="L186" s="15" t="str">
        <f aca="false">IFERROR(INDEX(Lookups!$H$3:$H$11,MATCH(K186&amp;"|"&amp;J186,Lookups!$G$3:$G$11,0)),"")</f>
        <v>High</v>
      </c>
      <c r="M186" s="16" t="str">
        <f aca="false">IFERROR(INDEX(Lookups!$L$3:$L$5,MATCH(L186,Lookups!$K$3:$K$5,0)),"")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186" s="16" t="str">
        <f aca="false">IFERROR(INDEX(Lookups!$M$3:$M$5,MATCH(L186,Lookups!$K$3:$K$5,0)),"")</f>
        <v>Individual OQ test case — positive and negative testing, executed and witnessed</v>
      </c>
      <c r="O186" s="16" t="s">
        <v>100</v>
      </c>
      <c r="P186" s="16" t="str">
        <f aca="false">IFERROR(INDEX(Lookups!$N$3:$N$5,MATCH(L186,Lookups!$K$3:$K$5,0)),"")</f>
        <v>Medium (to be confirmed after test execution)</v>
      </c>
      <c r="Q186" s="16"/>
    </row>
    <row r="187" customFormat="false" ht="60" hidden="false" customHeight="true" outlineLevel="0" collapsed="false">
      <c r="A187" s="15" t="s">
        <v>735</v>
      </c>
      <c r="B187" s="15" t="s">
        <v>736</v>
      </c>
      <c r="C187" s="16" t="s">
        <v>728</v>
      </c>
      <c r="D187" s="16" t="s">
        <v>737</v>
      </c>
      <c r="E187" s="15" t="s">
        <v>97</v>
      </c>
      <c r="F187" s="15" t="s">
        <v>98</v>
      </c>
      <c r="G187" s="16" t="s">
        <v>734</v>
      </c>
      <c r="H187" s="15" t="s">
        <v>43</v>
      </c>
      <c r="I187" s="15" t="s">
        <v>45</v>
      </c>
      <c r="J187" s="15" t="s">
        <v>45</v>
      </c>
      <c r="K187" s="15" t="n">
        <f aca="false">IFERROR(INDEX(Lookups!$D$3:$D$11,MATCH(H187&amp;"|"&amp;I187,Lookups!$C$3:$C$11,0)),"")</f>
        <v>3</v>
      </c>
      <c r="L187" s="15" t="str">
        <f aca="false">IFERROR(INDEX(Lookups!$H$3:$H$11,MATCH(K187&amp;"|"&amp;J187,Lookups!$G$3:$G$11,0)),"")</f>
        <v>High</v>
      </c>
      <c r="M187" s="16" t="str">
        <f aca="false">IFERROR(INDEX(Lookups!$L$3:$L$5,MATCH(L187,Lookups!$K$3:$K$5,0)),"")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187" s="16" t="str">
        <f aca="false">IFERROR(INDEX(Lookups!$M$3:$M$5,MATCH(L187,Lookups!$K$3:$K$5,0)),"")</f>
        <v>Individual OQ test case — positive and negative testing, executed and witnessed</v>
      </c>
      <c r="O187" s="16" t="s">
        <v>100</v>
      </c>
      <c r="P187" s="16" t="str">
        <f aca="false">IFERROR(INDEX(Lookups!$N$3:$N$5,MATCH(L187,Lookups!$K$3:$K$5,0)),"")</f>
        <v>Medium (to be confirmed after test execution)</v>
      </c>
      <c r="Q187" s="16"/>
    </row>
    <row r="188" customFormat="false" ht="60" hidden="false" customHeight="true" outlineLevel="0" collapsed="false">
      <c r="A188" s="15" t="s">
        <v>738</v>
      </c>
      <c r="B188" s="15" t="s">
        <v>739</v>
      </c>
      <c r="C188" s="16" t="s">
        <v>728</v>
      </c>
      <c r="D188" s="16" t="s">
        <v>740</v>
      </c>
      <c r="E188" s="15" t="s">
        <v>97</v>
      </c>
      <c r="F188" s="15" t="s">
        <v>98</v>
      </c>
      <c r="G188" s="16" t="s">
        <v>734</v>
      </c>
      <c r="H188" s="15" t="s">
        <v>43</v>
      </c>
      <c r="I188" s="15" t="s">
        <v>45</v>
      </c>
      <c r="J188" s="15" t="s">
        <v>45</v>
      </c>
      <c r="K188" s="15" t="n">
        <f aca="false">IFERROR(INDEX(Lookups!$D$3:$D$11,MATCH(H188&amp;"|"&amp;I188,Lookups!$C$3:$C$11,0)),"")</f>
        <v>3</v>
      </c>
      <c r="L188" s="15" t="str">
        <f aca="false">IFERROR(INDEX(Lookups!$H$3:$H$11,MATCH(K188&amp;"|"&amp;J188,Lookups!$G$3:$G$11,0)),"")</f>
        <v>High</v>
      </c>
      <c r="M188" s="16" t="str">
        <f aca="false">IFERROR(INDEX(Lookups!$L$3:$L$5,MATCH(L188,Lookups!$K$3:$K$5,0)),"")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188" s="16" t="str">
        <f aca="false">IFERROR(INDEX(Lookups!$M$3:$M$5,MATCH(L188,Lookups!$K$3:$K$5,0)),"")</f>
        <v>Individual OQ test case — positive and negative testing, executed and witnessed</v>
      </c>
      <c r="O188" s="16" t="s">
        <v>100</v>
      </c>
      <c r="P188" s="16" t="str">
        <f aca="false">IFERROR(INDEX(Lookups!$N$3:$N$5,MATCH(L188,Lookups!$K$3:$K$5,0)),"")</f>
        <v>Medium (to be confirmed after test execution)</v>
      </c>
      <c r="Q188" s="16"/>
    </row>
    <row r="189" customFormat="false" ht="60" hidden="false" customHeight="true" outlineLevel="0" collapsed="false">
      <c r="A189" s="15" t="s">
        <v>741</v>
      </c>
      <c r="B189" s="15" t="s">
        <v>742</v>
      </c>
      <c r="C189" s="16" t="s">
        <v>728</v>
      </c>
      <c r="D189" s="16" t="s">
        <v>743</v>
      </c>
      <c r="E189" s="15" t="s">
        <v>97</v>
      </c>
      <c r="F189" s="15" t="s">
        <v>98</v>
      </c>
      <c r="G189" s="16" t="s">
        <v>734</v>
      </c>
      <c r="H189" s="15" t="s">
        <v>43</v>
      </c>
      <c r="I189" s="15" t="s">
        <v>45</v>
      </c>
      <c r="J189" s="15" t="s">
        <v>45</v>
      </c>
      <c r="K189" s="15" t="n">
        <f aca="false">IFERROR(INDEX(Lookups!$D$3:$D$11,MATCH(H189&amp;"|"&amp;I189,Lookups!$C$3:$C$11,0)),"")</f>
        <v>3</v>
      </c>
      <c r="L189" s="15" t="str">
        <f aca="false">IFERROR(INDEX(Lookups!$H$3:$H$11,MATCH(K189&amp;"|"&amp;J189,Lookups!$G$3:$G$11,0)),"")</f>
        <v>High</v>
      </c>
      <c r="M189" s="16" t="str">
        <f aca="false">IFERROR(INDEX(Lookups!$L$3:$L$5,MATCH(L189,Lookups!$K$3:$K$5,0)),"")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189" s="16" t="str">
        <f aca="false">IFERROR(INDEX(Lookups!$M$3:$M$5,MATCH(L189,Lookups!$K$3:$K$5,0)),"")</f>
        <v>Individual OQ test case — positive and negative testing, executed and witnessed</v>
      </c>
      <c r="O189" s="16" t="s">
        <v>100</v>
      </c>
      <c r="P189" s="16" t="str">
        <f aca="false">IFERROR(INDEX(Lookups!$N$3:$N$5,MATCH(L189,Lookups!$K$3:$K$5,0)),"")</f>
        <v>Medium (to be confirmed after test execution)</v>
      </c>
      <c r="Q189" s="16"/>
    </row>
    <row r="190" customFormat="false" ht="60" hidden="false" customHeight="true" outlineLevel="0" collapsed="false">
      <c r="A190" s="15" t="s">
        <v>744</v>
      </c>
      <c r="B190" s="15" t="s">
        <v>745</v>
      </c>
      <c r="C190" s="16" t="s">
        <v>746</v>
      </c>
      <c r="D190" s="16" t="s">
        <v>747</v>
      </c>
      <c r="E190" s="15" t="s">
        <v>97</v>
      </c>
      <c r="F190" s="15" t="s">
        <v>98</v>
      </c>
      <c r="G190" s="16" t="s">
        <v>748</v>
      </c>
      <c r="H190" s="15" t="s">
        <v>43</v>
      </c>
      <c r="I190" s="15" t="s">
        <v>45</v>
      </c>
      <c r="J190" s="15" t="s">
        <v>45</v>
      </c>
      <c r="K190" s="15" t="n">
        <f aca="false">IFERROR(INDEX(Lookups!$D$3:$D$11,MATCH(H190&amp;"|"&amp;I190,Lookups!$C$3:$C$11,0)),"")</f>
        <v>3</v>
      </c>
      <c r="L190" s="15" t="str">
        <f aca="false">IFERROR(INDEX(Lookups!$H$3:$H$11,MATCH(K190&amp;"|"&amp;J190,Lookups!$G$3:$G$11,0)),"")</f>
        <v>High</v>
      </c>
      <c r="M190" s="16" t="str">
        <f aca="false">IFERROR(INDEX(Lookups!$L$3:$L$5,MATCH(L190,Lookups!$K$3:$K$5,0)),"")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190" s="16" t="str">
        <f aca="false">IFERROR(INDEX(Lookups!$M$3:$M$5,MATCH(L190,Lookups!$K$3:$K$5,0)),"")</f>
        <v>Individual OQ test case — positive and negative testing, executed and witnessed</v>
      </c>
      <c r="O190" s="16" t="s">
        <v>100</v>
      </c>
      <c r="P190" s="16" t="str">
        <f aca="false">IFERROR(INDEX(Lookups!$N$3:$N$5,MATCH(L190,Lookups!$K$3:$K$5,0)),"")</f>
        <v>Medium (to be confirmed after test execution)</v>
      </c>
      <c r="Q190" s="16"/>
    </row>
    <row r="191" customFormat="false" ht="60" hidden="false" customHeight="true" outlineLevel="0" collapsed="false">
      <c r="A191" s="15" t="s">
        <v>749</v>
      </c>
      <c r="B191" s="15" t="s">
        <v>750</v>
      </c>
      <c r="C191" s="16" t="s">
        <v>746</v>
      </c>
      <c r="D191" s="16" t="s">
        <v>751</v>
      </c>
      <c r="E191" s="15" t="s">
        <v>97</v>
      </c>
      <c r="F191" s="15" t="s">
        <v>98</v>
      </c>
      <c r="G191" s="16" t="s">
        <v>752</v>
      </c>
      <c r="H191" s="15" t="s">
        <v>45</v>
      </c>
      <c r="I191" s="15" t="s">
        <v>45</v>
      </c>
      <c r="J191" s="15" t="s">
        <v>45</v>
      </c>
      <c r="K191" s="15" t="n">
        <f aca="false">IFERROR(INDEX(Lookups!$D$3:$D$11,MATCH(H191&amp;"|"&amp;I191,Lookups!$C$3:$C$11,0)),"")</f>
        <v>2</v>
      </c>
      <c r="L191" s="15" t="str">
        <f aca="false">IFERROR(INDEX(Lookups!$H$3:$H$11,MATCH(K191&amp;"|"&amp;J191,Lookups!$G$3:$G$11,0)),"")</f>
        <v>Medium</v>
      </c>
      <c r="M191" s="16" t="str">
        <f aca="false">IFERROR(INDEX(Lookups!$L$3:$L$5,MATCH(L191,Lookups!$K$3:$K$5,0)),"")</f>
        <v>Specify in the Functional Specification and verify by individual OQ test case (positive testing). Procedural control where user judgement is involved.</v>
      </c>
      <c r="N191" s="16" t="str">
        <f aca="false">IFERROR(INDEX(Lookups!$M$3:$M$5,MATCH(L191,Lookups!$K$3:$K$5,0)),"")</f>
        <v>Individual OQ test case — positive testing</v>
      </c>
      <c r="O191" s="16" t="s">
        <v>100</v>
      </c>
      <c r="P191" s="16" t="str">
        <f aca="false">IFERROR(INDEX(Lookups!$N$3:$N$5,MATCH(L191,Lookups!$K$3:$K$5,0)),"")</f>
        <v>Low</v>
      </c>
      <c r="Q191" s="16"/>
    </row>
    <row r="192" customFormat="false" ht="60" hidden="false" customHeight="true" outlineLevel="0" collapsed="false">
      <c r="A192" s="15" t="s">
        <v>753</v>
      </c>
      <c r="B192" s="15" t="s">
        <v>754</v>
      </c>
      <c r="C192" s="16" t="s">
        <v>746</v>
      </c>
      <c r="D192" s="16" t="s">
        <v>755</v>
      </c>
      <c r="E192" s="15" t="s">
        <v>97</v>
      </c>
      <c r="F192" s="15" t="s">
        <v>98</v>
      </c>
      <c r="G192" s="16" t="s">
        <v>748</v>
      </c>
      <c r="H192" s="15" t="s">
        <v>45</v>
      </c>
      <c r="I192" s="15" t="s">
        <v>47</v>
      </c>
      <c r="J192" s="15" t="s">
        <v>45</v>
      </c>
      <c r="K192" s="15" t="n">
        <f aca="false">IFERROR(INDEX(Lookups!$D$3:$D$11,MATCH(H192&amp;"|"&amp;I192,Lookups!$C$3:$C$11,0)),"")</f>
        <v>1</v>
      </c>
      <c r="L192" s="15" t="str">
        <f aca="false">IFERROR(INDEX(Lookups!$H$3:$H$11,MATCH(K192&amp;"|"&amp;J192,Lookups!$G$3:$G$11,0)),"")</f>
        <v>Low</v>
      </c>
      <c r="M192" s="16" t="str">
        <f aca="false">IFERROR(INDEX(Lookups!$L$3:$L$5,MATCH(L192,Lookups!$K$3:$K$5,0)),"")</f>
        <v>Verify by grouped OQ execution or PQ/UAT scenario. No additional design control required beyond standard development and code review.</v>
      </c>
      <c r="N192" s="16" t="str">
        <f aca="false">IFERROR(INDEX(Lookups!$M$3:$M$5,MATCH(L192,Lookups!$K$3:$K$5,0)),"")</f>
        <v>Grouped OQ / PQ-UAT scenario verification</v>
      </c>
      <c r="O192" s="16" t="s">
        <v>100</v>
      </c>
      <c r="P192" s="16" t="str">
        <f aca="false">IFERROR(INDEX(Lookups!$N$3:$N$5,MATCH(L192,Lookups!$K$3:$K$5,0)),"")</f>
        <v>Low</v>
      </c>
      <c r="Q192" s="16"/>
    </row>
    <row r="193" customFormat="false" ht="60" hidden="false" customHeight="true" outlineLevel="0" collapsed="false">
      <c r="A193" s="15" t="s">
        <v>756</v>
      </c>
      <c r="B193" s="15" t="s">
        <v>757</v>
      </c>
      <c r="C193" s="16" t="s">
        <v>746</v>
      </c>
      <c r="D193" s="16" t="s">
        <v>758</v>
      </c>
      <c r="E193" s="15" t="s">
        <v>97</v>
      </c>
      <c r="F193" s="15" t="s">
        <v>98</v>
      </c>
      <c r="G193" s="16" t="s">
        <v>748</v>
      </c>
      <c r="H193" s="15" t="s">
        <v>43</v>
      </c>
      <c r="I193" s="15" t="s">
        <v>47</v>
      </c>
      <c r="J193" s="15" t="s">
        <v>43</v>
      </c>
      <c r="K193" s="15" t="n">
        <f aca="false">IFERROR(INDEX(Lookups!$D$3:$D$11,MATCH(H193&amp;"|"&amp;I193,Lookups!$C$3:$C$11,0)),"")</f>
        <v>2</v>
      </c>
      <c r="L193" s="15" t="str">
        <f aca="false">IFERROR(INDEX(Lookups!$H$3:$H$11,MATCH(K193&amp;"|"&amp;J193,Lookups!$G$3:$G$11,0)),"")</f>
        <v>Low</v>
      </c>
      <c r="M193" s="16" t="str">
        <f aca="false">IFERROR(INDEX(Lookups!$L$3:$L$5,MATCH(L193,Lookups!$K$3:$K$5,0)),"")</f>
        <v>Verify by grouped OQ execution or PQ/UAT scenario. No additional design control required beyond standard development and code review.</v>
      </c>
      <c r="N193" s="16" t="str">
        <f aca="false">IFERROR(INDEX(Lookups!$M$3:$M$5,MATCH(L193,Lookups!$K$3:$K$5,0)),"")</f>
        <v>Grouped OQ / PQ-UAT scenario verification</v>
      </c>
      <c r="O193" s="16" t="s">
        <v>100</v>
      </c>
      <c r="P193" s="16" t="str">
        <f aca="false">IFERROR(INDEX(Lookups!$N$3:$N$5,MATCH(L193,Lookups!$K$3:$K$5,0)),"")</f>
        <v>Low</v>
      </c>
      <c r="Q193" s="16"/>
    </row>
    <row r="194" customFormat="false" ht="60" hidden="false" customHeight="true" outlineLevel="0" collapsed="false">
      <c r="A194" s="15" t="s">
        <v>759</v>
      </c>
      <c r="B194" s="15" t="s">
        <v>760</v>
      </c>
      <c r="C194" s="16" t="s">
        <v>133</v>
      </c>
      <c r="D194" s="16" t="s">
        <v>761</v>
      </c>
      <c r="E194" s="15" t="s">
        <v>97</v>
      </c>
      <c r="F194" s="15" t="s">
        <v>98</v>
      </c>
      <c r="G194" s="16" t="s">
        <v>135</v>
      </c>
      <c r="H194" s="15" t="s">
        <v>45</v>
      </c>
      <c r="I194" s="15" t="s">
        <v>43</v>
      </c>
      <c r="J194" s="15" t="s">
        <v>47</v>
      </c>
      <c r="K194" s="15" t="n">
        <f aca="false">IFERROR(INDEX(Lookups!$D$3:$D$11,MATCH(H194&amp;"|"&amp;I194,Lookups!$C$3:$C$11,0)),"")</f>
        <v>3</v>
      </c>
      <c r="L194" s="15" t="str">
        <f aca="false">IFERROR(INDEX(Lookups!$H$3:$H$11,MATCH(K194&amp;"|"&amp;J194,Lookups!$G$3:$G$11,0)),"")</f>
        <v>High</v>
      </c>
      <c r="M194" s="16" t="str">
        <f aca="false">IFERROR(INDEX(Lookups!$L$3:$L$5,MATCH(L194,Lookups!$K$3:$K$5,0)),"")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194" s="16" t="str">
        <f aca="false">IFERROR(INDEX(Lookups!$M$3:$M$5,MATCH(L194,Lookups!$K$3:$K$5,0)),"")</f>
        <v>Individual OQ test case — positive and negative testing, executed and witnessed</v>
      </c>
      <c r="O194" s="16" t="s">
        <v>100</v>
      </c>
      <c r="P194" s="16" t="str">
        <f aca="false">IFERROR(INDEX(Lookups!$N$3:$N$5,MATCH(L194,Lookups!$K$3:$K$5,0)),"")</f>
        <v>Medium (to be confirmed after test execution)</v>
      </c>
      <c r="Q194" s="16"/>
    </row>
    <row r="195" customFormat="false" ht="60" hidden="false" customHeight="true" outlineLevel="0" collapsed="false">
      <c r="A195" s="15" t="s">
        <v>762</v>
      </c>
      <c r="B195" s="15" t="s">
        <v>763</v>
      </c>
      <c r="C195" s="16" t="s">
        <v>133</v>
      </c>
      <c r="D195" s="16" t="s">
        <v>764</v>
      </c>
      <c r="E195" s="15" t="s">
        <v>97</v>
      </c>
      <c r="F195" s="15" t="s">
        <v>98</v>
      </c>
      <c r="G195" s="16" t="s">
        <v>135</v>
      </c>
      <c r="H195" s="15" t="s">
        <v>43</v>
      </c>
      <c r="I195" s="15" t="s">
        <v>43</v>
      </c>
      <c r="J195" s="15" t="s">
        <v>47</v>
      </c>
      <c r="K195" s="15" t="n">
        <f aca="false">IFERROR(INDEX(Lookups!$D$3:$D$11,MATCH(H195&amp;"|"&amp;I195,Lookups!$C$3:$C$11,0)),"")</f>
        <v>3</v>
      </c>
      <c r="L195" s="15" t="str">
        <f aca="false">IFERROR(INDEX(Lookups!$H$3:$H$11,MATCH(K195&amp;"|"&amp;J195,Lookups!$G$3:$G$11,0)),"")</f>
        <v>High</v>
      </c>
      <c r="M195" s="16" t="str">
        <f aca="false">IFERROR(INDEX(Lookups!$L$3:$L$5,MATCH(L195,Lookups!$K$3:$K$5,0)),"")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195" s="16" t="str">
        <f aca="false">IFERROR(INDEX(Lookups!$M$3:$M$5,MATCH(L195,Lookups!$K$3:$K$5,0)),"")</f>
        <v>Individual OQ test case — positive and negative testing, executed and witnessed</v>
      </c>
      <c r="O195" s="16" t="s">
        <v>100</v>
      </c>
      <c r="P195" s="16" t="str">
        <f aca="false">IFERROR(INDEX(Lookups!$N$3:$N$5,MATCH(L195,Lookups!$K$3:$K$5,0)),"")</f>
        <v>Medium (to be confirmed after test execution)</v>
      </c>
      <c r="Q195" s="16"/>
    </row>
    <row r="196" customFormat="false" ht="60" hidden="false" customHeight="true" outlineLevel="0" collapsed="false">
      <c r="A196" s="15" t="s">
        <v>765</v>
      </c>
      <c r="B196" s="15" t="s">
        <v>766</v>
      </c>
      <c r="C196" s="16" t="s">
        <v>133</v>
      </c>
      <c r="D196" s="16" t="s">
        <v>767</v>
      </c>
      <c r="E196" s="15" t="s">
        <v>97</v>
      </c>
      <c r="F196" s="15" t="s">
        <v>98</v>
      </c>
      <c r="G196" s="16" t="s">
        <v>768</v>
      </c>
      <c r="H196" s="15" t="s">
        <v>43</v>
      </c>
      <c r="I196" s="15" t="s">
        <v>45</v>
      </c>
      <c r="J196" s="15" t="s">
        <v>45</v>
      </c>
      <c r="K196" s="15" t="n">
        <f aca="false">IFERROR(INDEX(Lookups!$D$3:$D$11,MATCH(H196&amp;"|"&amp;I196,Lookups!$C$3:$C$11,0)),"")</f>
        <v>3</v>
      </c>
      <c r="L196" s="15" t="str">
        <f aca="false">IFERROR(INDEX(Lookups!$H$3:$H$11,MATCH(K196&amp;"|"&amp;J196,Lookups!$G$3:$G$11,0)),"")</f>
        <v>High</v>
      </c>
      <c r="M196" s="16" t="str">
        <f aca="false">IFERROR(INDEX(Lookups!$L$3:$L$5,MATCH(L196,Lookups!$K$3:$K$5,0)),"")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196" s="16" t="str">
        <f aca="false">IFERROR(INDEX(Lookups!$M$3:$M$5,MATCH(L196,Lookups!$K$3:$K$5,0)),"")</f>
        <v>Individual OQ test case — positive and negative testing, executed and witnessed</v>
      </c>
      <c r="O196" s="16" t="s">
        <v>100</v>
      </c>
      <c r="P196" s="16" t="str">
        <f aca="false">IFERROR(INDEX(Lookups!$N$3:$N$5,MATCH(L196,Lookups!$K$3:$K$5,0)),"")</f>
        <v>Medium (to be confirmed after test execution)</v>
      </c>
      <c r="Q196" s="16"/>
    </row>
    <row r="197" customFormat="false" ht="60" hidden="false" customHeight="true" outlineLevel="0" collapsed="false">
      <c r="A197" s="15" t="s">
        <v>769</v>
      </c>
      <c r="B197" s="15" t="s">
        <v>770</v>
      </c>
      <c r="C197" s="16" t="s">
        <v>133</v>
      </c>
      <c r="D197" s="16" t="s">
        <v>771</v>
      </c>
      <c r="E197" s="15" t="s">
        <v>97</v>
      </c>
      <c r="F197" s="15" t="s">
        <v>98</v>
      </c>
      <c r="G197" s="16" t="s">
        <v>135</v>
      </c>
      <c r="H197" s="15" t="s">
        <v>45</v>
      </c>
      <c r="I197" s="15" t="s">
        <v>43</v>
      </c>
      <c r="J197" s="15" t="s">
        <v>47</v>
      </c>
      <c r="K197" s="15" t="n">
        <f aca="false">IFERROR(INDEX(Lookups!$D$3:$D$11,MATCH(H197&amp;"|"&amp;I197,Lookups!$C$3:$C$11,0)),"")</f>
        <v>3</v>
      </c>
      <c r="L197" s="15" t="str">
        <f aca="false">IFERROR(INDEX(Lookups!$H$3:$H$11,MATCH(K197&amp;"|"&amp;J197,Lookups!$G$3:$G$11,0)),"")</f>
        <v>High</v>
      </c>
      <c r="M197" s="16" t="str">
        <f aca="false">IFERROR(INDEX(Lookups!$L$3:$L$5,MATCH(L197,Lookups!$K$3:$K$5,0)),"")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197" s="16" t="str">
        <f aca="false">IFERROR(INDEX(Lookups!$M$3:$M$5,MATCH(L197,Lookups!$K$3:$K$5,0)),"")</f>
        <v>Individual OQ test case — positive and negative testing, executed and witnessed</v>
      </c>
      <c r="O197" s="16" t="s">
        <v>621</v>
      </c>
      <c r="P197" s="16" t="str">
        <f aca="false">IFERROR(INDEX(Lookups!$N$3:$N$5,MATCH(L197,Lookups!$K$3:$K$5,0)),"")</f>
        <v>Medium (to be confirmed after test execution)</v>
      </c>
      <c r="Q197" s="16"/>
    </row>
    <row r="198" customFormat="false" ht="60" hidden="false" customHeight="true" outlineLevel="0" collapsed="false">
      <c r="A198" s="15" t="s">
        <v>772</v>
      </c>
      <c r="B198" s="15" t="s">
        <v>773</v>
      </c>
      <c r="C198" s="16" t="s">
        <v>133</v>
      </c>
      <c r="D198" s="16" t="s">
        <v>774</v>
      </c>
      <c r="E198" s="15" t="s">
        <v>97</v>
      </c>
      <c r="F198" s="15" t="s">
        <v>98</v>
      </c>
      <c r="G198" s="16" t="s">
        <v>135</v>
      </c>
      <c r="H198" s="15" t="s">
        <v>45</v>
      </c>
      <c r="I198" s="15" t="s">
        <v>43</v>
      </c>
      <c r="J198" s="15" t="s">
        <v>47</v>
      </c>
      <c r="K198" s="15" t="n">
        <f aca="false">IFERROR(INDEX(Lookups!$D$3:$D$11,MATCH(H198&amp;"|"&amp;I198,Lookups!$C$3:$C$11,0)),"")</f>
        <v>3</v>
      </c>
      <c r="L198" s="15" t="str">
        <f aca="false">IFERROR(INDEX(Lookups!$H$3:$H$11,MATCH(K198&amp;"|"&amp;J198,Lookups!$G$3:$G$11,0)),"")</f>
        <v>High</v>
      </c>
      <c r="M198" s="16" t="str">
        <f aca="false">IFERROR(INDEX(Lookups!$L$3:$L$5,MATCH(L198,Lookups!$K$3:$K$5,0)),"")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198" s="16" t="str">
        <f aca="false">IFERROR(INDEX(Lookups!$M$3:$M$5,MATCH(L198,Lookups!$K$3:$K$5,0)),"")</f>
        <v>Individual OQ test case — positive and negative testing, executed and witnessed</v>
      </c>
      <c r="O198" s="16" t="s">
        <v>100</v>
      </c>
      <c r="P198" s="16" t="str">
        <f aca="false">IFERROR(INDEX(Lookups!$N$3:$N$5,MATCH(L198,Lookups!$K$3:$K$5,0)),"")</f>
        <v>Medium (to be confirmed after test execution)</v>
      </c>
      <c r="Q198" s="16"/>
    </row>
    <row r="199" customFormat="false" ht="60" hidden="false" customHeight="true" outlineLevel="0" collapsed="false">
      <c r="A199" s="15" t="s">
        <v>775</v>
      </c>
      <c r="B199" s="15" t="s">
        <v>776</v>
      </c>
      <c r="C199" s="16" t="s">
        <v>165</v>
      </c>
      <c r="D199" s="16" t="s">
        <v>777</v>
      </c>
      <c r="E199" s="15" t="s">
        <v>97</v>
      </c>
      <c r="F199" s="15" t="s">
        <v>98</v>
      </c>
      <c r="G199" s="16" t="s">
        <v>778</v>
      </c>
      <c r="H199" s="15" t="s">
        <v>43</v>
      </c>
      <c r="I199" s="15" t="s">
        <v>45</v>
      </c>
      <c r="J199" s="15" t="s">
        <v>47</v>
      </c>
      <c r="K199" s="15" t="n">
        <f aca="false">IFERROR(INDEX(Lookups!$D$3:$D$11,MATCH(H199&amp;"|"&amp;I199,Lookups!$C$3:$C$11,0)),"")</f>
        <v>3</v>
      </c>
      <c r="L199" s="15" t="str">
        <f aca="false">IFERROR(INDEX(Lookups!$H$3:$H$11,MATCH(K199&amp;"|"&amp;J199,Lookups!$G$3:$G$11,0)),"")</f>
        <v>High</v>
      </c>
      <c r="M199" s="16" t="str">
        <f aca="false">IFERROR(INDEX(Lookups!$L$3:$L$5,MATCH(L199,Lookups!$K$3:$K$5,0)),"")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199" s="16" t="str">
        <f aca="false">IFERROR(INDEX(Lookups!$M$3:$M$5,MATCH(L199,Lookups!$K$3:$K$5,0)),"")</f>
        <v>Individual OQ test case — positive and negative testing, executed and witnessed</v>
      </c>
      <c r="O199" s="16" t="s">
        <v>100</v>
      </c>
      <c r="P199" s="16" t="str">
        <f aca="false">IFERROR(INDEX(Lookups!$N$3:$N$5,MATCH(L199,Lookups!$K$3:$K$5,0)),"")</f>
        <v>Medium (to be confirmed after test execution)</v>
      </c>
      <c r="Q199" s="16"/>
    </row>
    <row r="200" customFormat="false" ht="60" hidden="false" customHeight="true" outlineLevel="0" collapsed="false">
      <c r="A200" s="15" t="s">
        <v>779</v>
      </c>
      <c r="B200" s="15" t="s">
        <v>780</v>
      </c>
      <c r="C200" s="16" t="s">
        <v>165</v>
      </c>
      <c r="D200" s="16" t="s">
        <v>781</v>
      </c>
      <c r="E200" s="15" t="s">
        <v>97</v>
      </c>
      <c r="F200" s="15" t="s">
        <v>98</v>
      </c>
      <c r="G200" s="16" t="s">
        <v>782</v>
      </c>
      <c r="H200" s="15" t="s">
        <v>43</v>
      </c>
      <c r="I200" s="15" t="s">
        <v>45</v>
      </c>
      <c r="J200" s="15" t="s">
        <v>47</v>
      </c>
      <c r="K200" s="15" t="n">
        <f aca="false">IFERROR(INDEX(Lookups!$D$3:$D$11,MATCH(H200&amp;"|"&amp;I200,Lookups!$C$3:$C$11,0)),"")</f>
        <v>3</v>
      </c>
      <c r="L200" s="15" t="str">
        <f aca="false">IFERROR(INDEX(Lookups!$H$3:$H$11,MATCH(K200&amp;"|"&amp;J200,Lookups!$G$3:$G$11,0)),"")</f>
        <v>High</v>
      </c>
      <c r="M200" s="16" t="str">
        <f aca="false">IFERROR(INDEX(Lookups!$L$3:$L$5,MATCH(L200,Lookups!$K$3:$K$5,0)),"")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200" s="16" t="str">
        <f aca="false">IFERROR(INDEX(Lookups!$M$3:$M$5,MATCH(L200,Lookups!$K$3:$K$5,0)),"")</f>
        <v>Individual OQ test case — positive and negative testing, executed and witnessed</v>
      </c>
      <c r="O200" s="16" t="s">
        <v>100</v>
      </c>
      <c r="P200" s="16" t="str">
        <f aca="false">IFERROR(INDEX(Lookups!$N$3:$N$5,MATCH(L200,Lookups!$K$3:$K$5,0)),"")</f>
        <v>Medium (to be confirmed after test execution)</v>
      </c>
      <c r="Q200" s="16"/>
    </row>
    <row r="201" customFormat="false" ht="60" hidden="false" customHeight="true" outlineLevel="0" collapsed="false">
      <c r="A201" s="15" t="s">
        <v>783</v>
      </c>
      <c r="B201" s="15" t="s">
        <v>784</v>
      </c>
      <c r="C201" s="16" t="s">
        <v>165</v>
      </c>
      <c r="D201" s="16" t="s">
        <v>785</v>
      </c>
      <c r="E201" s="15" t="s">
        <v>97</v>
      </c>
      <c r="F201" s="15" t="s">
        <v>98</v>
      </c>
      <c r="G201" s="16" t="s">
        <v>167</v>
      </c>
      <c r="H201" s="15" t="s">
        <v>43</v>
      </c>
      <c r="I201" s="15" t="s">
        <v>45</v>
      </c>
      <c r="J201" s="15" t="s">
        <v>47</v>
      </c>
      <c r="K201" s="15" t="n">
        <f aca="false">IFERROR(INDEX(Lookups!$D$3:$D$11,MATCH(H201&amp;"|"&amp;I201,Lookups!$C$3:$C$11,0)),"")</f>
        <v>3</v>
      </c>
      <c r="L201" s="15" t="str">
        <f aca="false">IFERROR(INDEX(Lookups!$H$3:$H$11,MATCH(K201&amp;"|"&amp;J201,Lookups!$G$3:$G$11,0)),"")</f>
        <v>High</v>
      </c>
      <c r="M201" s="16" t="str">
        <f aca="false">IFERROR(INDEX(Lookups!$L$3:$L$5,MATCH(L201,Lookups!$K$3:$K$5,0)),"")</f>
        <v>Design control plus independent verification. Specify explicitly in the Functional/Design Specification, implement with backend enforcement, and challenge in OQ with positive and negative test cases. Supporting procedural control (SOP) required where residual risk remains.</v>
      </c>
      <c r="N201" s="16" t="str">
        <f aca="false">IFERROR(INDEX(Lookups!$M$3:$M$5,MATCH(L201,Lookups!$K$3:$K$5,0)),"")</f>
        <v>Individual OQ test case — positive and negative testing, executed and witnessed</v>
      </c>
      <c r="O201" s="16" t="s">
        <v>100</v>
      </c>
      <c r="P201" s="16" t="str">
        <f aca="false">IFERROR(INDEX(Lookups!$N$3:$N$5,MATCH(L201,Lookups!$K$3:$K$5,0)),"")</f>
        <v>Medium (to be confirmed after test execution)</v>
      </c>
      <c r="Q201" s="16"/>
    </row>
    <row r="202" customFormat="false" ht="60" hidden="false" customHeight="true" outlineLevel="0" collapsed="false">
      <c r="A202" s="15" t="s">
        <v>786</v>
      </c>
      <c r="B202" s="15" t="s">
        <v>787</v>
      </c>
      <c r="C202" s="16" t="s">
        <v>788</v>
      </c>
      <c r="D202" s="16" t="s">
        <v>789</v>
      </c>
      <c r="E202" s="15" t="s">
        <v>97</v>
      </c>
      <c r="F202" s="15" t="s">
        <v>98</v>
      </c>
      <c r="G202" s="16" t="s">
        <v>790</v>
      </c>
      <c r="H202" s="15" t="s">
        <v>45</v>
      </c>
      <c r="I202" s="15" t="s">
        <v>47</v>
      </c>
      <c r="J202" s="15" t="s">
        <v>45</v>
      </c>
      <c r="K202" s="15" t="n">
        <f aca="false">IFERROR(INDEX(Lookups!$D$3:$D$11,MATCH(H202&amp;"|"&amp;I202,Lookups!$C$3:$C$11,0)),"")</f>
        <v>1</v>
      </c>
      <c r="L202" s="15" t="str">
        <f aca="false">IFERROR(INDEX(Lookups!$H$3:$H$11,MATCH(K202&amp;"|"&amp;J202,Lookups!$G$3:$G$11,0)),"")</f>
        <v>Low</v>
      </c>
      <c r="M202" s="16" t="str">
        <f aca="false">IFERROR(INDEX(Lookups!$L$3:$L$5,MATCH(L202,Lookups!$K$3:$K$5,0)),"")</f>
        <v>Verify by grouped OQ execution or PQ/UAT scenario. No additional design control required beyond standard development and code review.</v>
      </c>
      <c r="N202" s="16" t="str">
        <f aca="false">IFERROR(INDEX(Lookups!$M$3:$M$5,MATCH(L202,Lookups!$K$3:$K$5,0)),"")</f>
        <v>Grouped OQ / PQ-UAT scenario verification</v>
      </c>
      <c r="O202" s="16" t="s">
        <v>100</v>
      </c>
      <c r="P202" s="16" t="str">
        <f aca="false">IFERROR(INDEX(Lookups!$N$3:$N$5,MATCH(L202,Lookups!$K$3:$K$5,0)),"")</f>
        <v>Low</v>
      </c>
      <c r="Q202" s="16"/>
    </row>
    <row r="203" customFormat="false" ht="60" hidden="false" customHeight="true" outlineLevel="0" collapsed="false">
      <c r="A203" s="15" t="s">
        <v>791</v>
      </c>
      <c r="B203" s="15" t="s">
        <v>792</v>
      </c>
      <c r="C203" s="16" t="s">
        <v>788</v>
      </c>
      <c r="D203" s="16" t="s">
        <v>793</v>
      </c>
      <c r="E203" s="15" t="s">
        <v>97</v>
      </c>
      <c r="F203" s="15" t="s">
        <v>98</v>
      </c>
      <c r="G203" s="16" t="s">
        <v>790</v>
      </c>
      <c r="H203" s="15" t="s">
        <v>45</v>
      </c>
      <c r="I203" s="15" t="s">
        <v>47</v>
      </c>
      <c r="J203" s="15" t="s">
        <v>45</v>
      </c>
      <c r="K203" s="15" t="n">
        <f aca="false">IFERROR(INDEX(Lookups!$D$3:$D$11,MATCH(H203&amp;"|"&amp;I203,Lookups!$C$3:$C$11,0)),"")</f>
        <v>1</v>
      </c>
      <c r="L203" s="15" t="str">
        <f aca="false">IFERROR(INDEX(Lookups!$H$3:$H$11,MATCH(K203&amp;"|"&amp;J203,Lookups!$G$3:$G$11,0)),"")</f>
        <v>Low</v>
      </c>
      <c r="M203" s="16" t="str">
        <f aca="false">IFERROR(INDEX(Lookups!$L$3:$L$5,MATCH(L203,Lookups!$K$3:$K$5,0)),"")</f>
        <v>Verify by grouped OQ execution or PQ/UAT scenario. No additional design control required beyond standard development and code review.</v>
      </c>
      <c r="N203" s="16" t="str">
        <f aca="false">IFERROR(INDEX(Lookups!$M$3:$M$5,MATCH(L203,Lookups!$K$3:$K$5,0)),"")</f>
        <v>Grouped OQ / PQ-UAT scenario verification</v>
      </c>
      <c r="O203" s="16" t="s">
        <v>100</v>
      </c>
      <c r="P203" s="16" t="str">
        <f aca="false">IFERROR(INDEX(Lookups!$N$3:$N$5,MATCH(L203,Lookups!$K$3:$K$5,0)),"")</f>
        <v>Low</v>
      </c>
      <c r="Q203" s="16"/>
    </row>
    <row r="204" customFormat="false" ht="60" hidden="false" customHeight="true" outlineLevel="0" collapsed="false">
      <c r="A204" s="15" t="s">
        <v>794</v>
      </c>
      <c r="B204" s="15" t="s">
        <v>795</v>
      </c>
      <c r="C204" s="16" t="s">
        <v>788</v>
      </c>
      <c r="D204" s="16" t="s">
        <v>796</v>
      </c>
      <c r="E204" s="15" t="s">
        <v>97</v>
      </c>
      <c r="F204" s="15" t="s">
        <v>98</v>
      </c>
      <c r="G204" s="16" t="s">
        <v>790</v>
      </c>
      <c r="H204" s="15" t="s">
        <v>45</v>
      </c>
      <c r="I204" s="15" t="s">
        <v>47</v>
      </c>
      <c r="J204" s="15" t="s">
        <v>45</v>
      </c>
      <c r="K204" s="15" t="n">
        <f aca="false">IFERROR(INDEX(Lookups!$D$3:$D$11,MATCH(H204&amp;"|"&amp;I204,Lookups!$C$3:$C$11,0)),"")</f>
        <v>1</v>
      </c>
      <c r="L204" s="15" t="str">
        <f aca="false">IFERROR(INDEX(Lookups!$H$3:$H$11,MATCH(K204&amp;"|"&amp;J204,Lookups!$G$3:$G$11,0)),"")</f>
        <v>Low</v>
      </c>
      <c r="M204" s="16" t="str">
        <f aca="false">IFERROR(INDEX(Lookups!$L$3:$L$5,MATCH(L204,Lookups!$K$3:$K$5,0)),"")</f>
        <v>Verify by grouped OQ execution or PQ/UAT scenario. No additional design control required beyond standard development and code review.</v>
      </c>
      <c r="N204" s="16" t="str">
        <f aca="false">IFERROR(INDEX(Lookups!$M$3:$M$5,MATCH(L204,Lookups!$K$3:$K$5,0)),"")</f>
        <v>Grouped OQ / PQ-UAT scenario verification</v>
      </c>
      <c r="O204" s="16" t="s">
        <v>100</v>
      </c>
      <c r="P204" s="16" t="str">
        <f aca="false">IFERROR(INDEX(Lookups!$N$3:$N$5,MATCH(L204,Lookups!$K$3:$K$5,0)),"")</f>
        <v>Low</v>
      </c>
      <c r="Q204" s="16"/>
    </row>
  </sheetData>
  <autoFilter ref="A1:Q204"/>
  <conditionalFormatting sqref="L2:L204">
    <cfRule type="cellIs" priority="2" operator="equal" aboveAverage="0" equalAverage="0" bottom="0" percent="0" rank="0" text="" dxfId="6">
      <formula>"High"</formula>
    </cfRule>
    <cfRule type="cellIs" priority="3" operator="equal" aboveAverage="0" equalAverage="0" bottom="0" percent="0" rank="0" text="" dxfId="7">
      <formula>"Medium"</formula>
    </cfRule>
    <cfRule type="cellIs" priority="4" operator="equal" aboveAverage="0" equalAverage="0" bottom="0" percent="0" rank="0" text="" dxfId="8">
      <formula>"Low"</formula>
    </cfRule>
  </conditionalFormatting>
  <dataValidations count="1">
    <dataValidation allowBlank="false" errorStyle="stop" operator="between" showDropDown="false" showErrorMessage="false" showInputMessage="false" sqref="H2:J204" type="list">
      <formula1>"High,Medium,Low"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4" min="3" style="0" width="22"/>
    <col collapsed="false" customWidth="true" hidden="false" outlineLevel="0" max="8" min="7" style="0" width="22"/>
    <col collapsed="false" customWidth="true" hidden="false" outlineLevel="0" max="14" min="11" style="0" width="22"/>
  </cols>
  <sheetData>
    <row r="1" customFormat="false" ht="15" hidden="false" customHeight="false" outlineLevel="0" collapsed="false">
      <c r="A1" s="17" t="s">
        <v>797</v>
      </c>
    </row>
    <row r="2" customFormat="false" ht="15" hidden="false" customHeight="false" outlineLevel="0" collapsed="false">
      <c r="C2" s="18" t="s">
        <v>798</v>
      </c>
      <c r="D2" s="18" t="s">
        <v>66</v>
      </c>
      <c r="G2" s="18" t="s">
        <v>799</v>
      </c>
      <c r="H2" s="18" t="s">
        <v>71</v>
      </c>
      <c r="K2" s="18" t="s">
        <v>71</v>
      </c>
      <c r="L2" s="18" t="s">
        <v>800</v>
      </c>
      <c r="M2" s="18" t="s">
        <v>73</v>
      </c>
      <c r="N2" s="18" t="s">
        <v>91</v>
      </c>
    </row>
    <row r="3" customFormat="false" ht="15" hidden="false" customHeight="false" outlineLevel="0" collapsed="false">
      <c r="C3" s="0" t="s">
        <v>801</v>
      </c>
      <c r="D3" s="0" t="n">
        <v>3</v>
      </c>
      <c r="G3" s="0" t="s">
        <v>802</v>
      </c>
      <c r="H3" s="0" t="s">
        <v>43</v>
      </c>
      <c r="K3" s="0" t="s">
        <v>43</v>
      </c>
      <c r="L3" s="0" t="s">
        <v>74</v>
      </c>
      <c r="M3" s="0" t="s">
        <v>75</v>
      </c>
      <c r="N3" s="0" t="s">
        <v>803</v>
      </c>
    </row>
    <row r="4" customFormat="false" ht="15" hidden="false" customHeight="false" outlineLevel="0" collapsed="false">
      <c r="C4" s="0" t="s">
        <v>804</v>
      </c>
      <c r="D4" s="0" t="n">
        <v>3</v>
      </c>
      <c r="G4" s="0" t="s">
        <v>805</v>
      </c>
      <c r="H4" s="0" t="s">
        <v>43</v>
      </c>
      <c r="K4" s="0" t="s">
        <v>45</v>
      </c>
      <c r="L4" s="0" t="s">
        <v>76</v>
      </c>
      <c r="M4" s="0" t="s">
        <v>77</v>
      </c>
      <c r="N4" s="0" t="s">
        <v>47</v>
      </c>
    </row>
    <row r="5" customFormat="false" ht="15" hidden="false" customHeight="false" outlineLevel="0" collapsed="false">
      <c r="C5" s="0" t="s">
        <v>806</v>
      </c>
      <c r="D5" s="0" t="n">
        <v>2</v>
      </c>
      <c r="G5" s="0" t="s">
        <v>807</v>
      </c>
      <c r="H5" s="0" t="s">
        <v>45</v>
      </c>
      <c r="K5" s="0" t="s">
        <v>47</v>
      </c>
      <c r="L5" s="0" t="s">
        <v>78</v>
      </c>
      <c r="M5" s="0" t="s">
        <v>79</v>
      </c>
      <c r="N5" s="0" t="s">
        <v>47</v>
      </c>
    </row>
    <row r="6" customFormat="false" ht="15" hidden="false" customHeight="false" outlineLevel="0" collapsed="false">
      <c r="C6" s="0" t="s">
        <v>808</v>
      </c>
      <c r="D6" s="0" t="n">
        <v>3</v>
      </c>
      <c r="G6" s="0" t="s">
        <v>809</v>
      </c>
      <c r="H6" s="0" t="s">
        <v>43</v>
      </c>
    </row>
    <row r="7" customFormat="false" ht="15" hidden="false" customHeight="false" outlineLevel="0" collapsed="false">
      <c r="C7" s="0" t="s">
        <v>810</v>
      </c>
      <c r="D7" s="0" t="n">
        <v>2</v>
      </c>
      <c r="G7" s="0" t="s">
        <v>811</v>
      </c>
      <c r="H7" s="0" t="s">
        <v>45</v>
      </c>
    </row>
    <row r="8" customFormat="false" ht="15" hidden="false" customHeight="false" outlineLevel="0" collapsed="false">
      <c r="C8" s="0" t="s">
        <v>812</v>
      </c>
      <c r="D8" s="0" t="n">
        <v>1</v>
      </c>
      <c r="G8" s="0" t="s">
        <v>813</v>
      </c>
      <c r="H8" s="0" t="s">
        <v>47</v>
      </c>
    </row>
    <row r="9" customFormat="false" ht="15" hidden="false" customHeight="false" outlineLevel="0" collapsed="false">
      <c r="C9" s="0" t="s">
        <v>814</v>
      </c>
      <c r="D9" s="0" t="n">
        <v>2</v>
      </c>
      <c r="G9" s="0" t="s">
        <v>815</v>
      </c>
      <c r="H9" s="0" t="s">
        <v>45</v>
      </c>
    </row>
    <row r="10" customFormat="false" ht="15" hidden="false" customHeight="false" outlineLevel="0" collapsed="false">
      <c r="C10" s="0" t="s">
        <v>816</v>
      </c>
      <c r="D10" s="0" t="n">
        <v>1</v>
      </c>
      <c r="G10" s="0" t="s">
        <v>817</v>
      </c>
      <c r="H10" s="0" t="s">
        <v>47</v>
      </c>
    </row>
    <row r="11" customFormat="false" ht="15" hidden="false" customHeight="false" outlineLevel="0" collapsed="false">
      <c r="C11" s="0" t="s">
        <v>818</v>
      </c>
      <c r="D11" s="0" t="n">
        <v>1</v>
      </c>
      <c r="G11" s="0" t="s">
        <v>819</v>
      </c>
      <c r="H11" s="0" t="s">
        <v>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2"/>
    <col collapsed="false" customWidth="true" hidden="false" outlineLevel="0" max="3" min="3" style="0" width="28"/>
    <col collapsed="false" customWidth="true" hidden="false" outlineLevel="0" max="4" min="4" style="0" width="60"/>
    <col collapsed="false" customWidth="true" hidden="false" outlineLevel="0" max="5" min="5" style="0" width="12"/>
  </cols>
  <sheetData>
    <row r="1" customFormat="false" ht="17.35" hidden="false" customHeight="false" outlineLevel="0" collapsed="false">
      <c r="A1" s="11" t="s">
        <v>820</v>
      </c>
    </row>
    <row r="2" customFormat="false" ht="15" hidden="false" customHeight="false" outlineLevel="0" collapsed="false">
      <c r="A2" s="12" t="s">
        <v>821</v>
      </c>
    </row>
    <row r="4" customFormat="false" ht="15" hidden="false" customHeight="false" outlineLevel="0" collapsed="false">
      <c r="A4" s="7" t="s">
        <v>822</v>
      </c>
    </row>
    <row r="5" customFormat="false" ht="31.5" hidden="false" customHeight="true" outlineLevel="0" collapsed="false">
      <c r="A5" s="14" t="s">
        <v>71</v>
      </c>
      <c r="B5" s="14" t="s">
        <v>823</v>
      </c>
      <c r="C5" s="14" t="s">
        <v>824</v>
      </c>
      <c r="D5" s="14" t="s">
        <v>73</v>
      </c>
    </row>
    <row r="6" customFormat="false" ht="23.85" hidden="false" customHeight="false" outlineLevel="0" collapsed="false">
      <c r="A6" s="19" t="s">
        <v>43</v>
      </c>
      <c r="B6" s="19" t="n">
        <f aca="false">COUNTIF('Risk Assessment'!$L$2:$L$204,A6)</f>
        <v>95</v>
      </c>
      <c r="C6" s="20" t="n">
        <f aca="false">IFERROR(B6/$B$9,0)</f>
        <v>0.467980295566502</v>
      </c>
      <c r="D6" s="19" t="s">
        <v>75</v>
      </c>
    </row>
    <row r="7" customFormat="false" ht="15" hidden="false" customHeight="false" outlineLevel="0" collapsed="false">
      <c r="A7" s="19" t="s">
        <v>45</v>
      </c>
      <c r="B7" s="19" t="n">
        <f aca="false">COUNTIF('Risk Assessment'!$L$2:$L$204,A7)</f>
        <v>75</v>
      </c>
      <c r="C7" s="20" t="n">
        <f aca="false">IFERROR(B7/$B$9,0)</f>
        <v>0.369458128078818</v>
      </c>
      <c r="D7" s="19" t="s">
        <v>77</v>
      </c>
    </row>
    <row r="8" customFormat="false" ht="15" hidden="false" customHeight="false" outlineLevel="0" collapsed="false">
      <c r="A8" s="19" t="s">
        <v>47</v>
      </c>
      <c r="B8" s="19" t="n">
        <f aca="false">COUNTIF('Risk Assessment'!$L$2:$L$204,A8)</f>
        <v>33</v>
      </c>
      <c r="C8" s="20" t="n">
        <f aca="false">IFERROR(B8/$B$9,0)</f>
        <v>0.16256157635468</v>
      </c>
      <c r="D8" s="19" t="s">
        <v>79</v>
      </c>
    </row>
    <row r="9" customFormat="false" ht="15" hidden="false" customHeight="false" outlineLevel="0" collapsed="false">
      <c r="A9" s="21" t="s">
        <v>825</v>
      </c>
      <c r="B9" s="19" t="n">
        <f aca="false">SUM(B6:B8)</f>
        <v>203</v>
      </c>
      <c r="C9" s="20" t="n">
        <f aca="false">IFERROR(B9/$B$9,0)</f>
        <v>1</v>
      </c>
    </row>
    <row r="11" customFormat="false" ht="15" hidden="false" customHeight="false" outlineLevel="0" collapsed="false">
      <c r="A11" s="21" t="s">
        <v>826</v>
      </c>
    </row>
    <row r="12" customFormat="false" ht="31.5" hidden="false" customHeight="true" outlineLevel="0" collapsed="false">
      <c r="A12" s="14" t="s">
        <v>82</v>
      </c>
      <c r="B12" s="14" t="s">
        <v>825</v>
      </c>
      <c r="C12" s="14" t="s">
        <v>43</v>
      </c>
      <c r="D12" s="14" t="s">
        <v>45</v>
      </c>
      <c r="E12" s="14" t="s">
        <v>47</v>
      </c>
    </row>
    <row r="13" customFormat="false" ht="15" hidden="false" customHeight="false" outlineLevel="0" collapsed="false">
      <c r="A13" s="19" t="s">
        <v>508</v>
      </c>
      <c r="B13" s="19" t="n">
        <f aca="false">COUNTIF('Risk Assessment'!$C$2:$C$204,$A13)</f>
        <v>10</v>
      </c>
      <c r="C13" s="19" t="n">
        <f aca="false">COUNTIFS('Risk Assessment'!$C$2:$C$204,$A13,'Risk Assessment'!$L$2:$L$204,"High")</f>
        <v>6</v>
      </c>
      <c r="D13" s="19" t="n">
        <f aca="false">COUNTIFS('Risk Assessment'!$C$2:$C$204,$A13,'Risk Assessment'!$L$2:$L$204,"Medium")</f>
        <v>3</v>
      </c>
      <c r="E13" s="19" t="n">
        <f aca="false">COUNTIFS('Risk Assessment'!$C$2:$C$204,$A13,'Risk Assessment'!$L$2:$L$204,"Low")</f>
        <v>1</v>
      </c>
    </row>
    <row r="14" customFormat="false" ht="15" hidden="false" customHeight="false" outlineLevel="0" collapsed="false">
      <c r="A14" s="19" t="s">
        <v>703</v>
      </c>
      <c r="B14" s="19" t="n">
        <f aca="false">COUNTIF('Risk Assessment'!$C$2:$C$204,$A14)</f>
        <v>7</v>
      </c>
      <c r="C14" s="19" t="n">
        <f aca="false">COUNTIFS('Risk Assessment'!$C$2:$C$204,$A14,'Risk Assessment'!$L$2:$L$204,"High")</f>
        <v>7</v>
      </c>
      <c r="D14" s="19" t="n">
        <f aca="false">COUNTIFS('Risk Assessment'!$C$2:$C$204,$A14,'Risk Assessment'!$L$2:$L$204,"Medium")</f>
        <v>0</v>
      </c>
      <c r="E14" s="19" t="n">
        <f aca="false">COUNTIFS('Risk Assessment'!$C$2:$C$204,$A14,'Risk Assessment'!$L$2:$L$204,"Low")</f>
        <v>0</v>
      </c>
    </row>
    <row r="15" customFormat="false" ht="15" hidden="false" customHeight="false" outlineLevel="0" collapsed="false">
      <c r="A15" s="19" t="s">
        <v>641</v>
      </c>
      <c r="B15" s="19" t="n">
        <f aca="false">COUNTIF('Risk Assessment'!$C$2:$C$204,$A15)</f>
        <v>1</v>
      </c>
      <c r="C15" s="19" t="n">
        <f aca="false">COUNTIFS('Risk Assessment'!$C$2:$C$204,$A15,'Risk Assessment'!$L$2:$L$204,"High")</f>
        <v>0</v>
      </c>
      <c r="D15" s="19" t="n">
        <f aca="false">COUNTIFS('Risk Assessment'!$C$2:$C$204,$A15,'Risk Assessment'!$L$2:$L$204,"Medium")</f>
        <v>1</v>
      </c>
      <c r="E15" s="19" t="n">
        <f aca="false">COUNTIFS('Risk Assessment'!$C$2:$C$204,$A15,'Risk Assessment'!$L$2:$L$204,"Low")</f>
        <v>0</v>
      </c>
    </row>
    <row r="16" customFormat="false" ht="15" hidden="false" customHeight="false" outlineLevel="0" collapsed="false">
      <c r="A16" s="19" t="s">
        <v>543</v>
      </c>
      <c r="B16" s="19" t="n">
        <f aca="false">COUNTIF('Risk Assessment'!$C$2:$C$204,$A16)</f>
        <v>10</v>
      </c>
      <c r="C16" s="19" t="n">
        <f aca="false">COUNTIFS('Risk Assessment'!$C$2:$C$204,$A16,'Risk Assessment'!$L$2:$L$204,"High")</f>
        <v>2</v>
      </c>
      <c r="D16" s="19" t="n">
        <f aca="false">COUNTIFS('Risk Assessment'!$C$2:$C$204,$A16,'Risk Assessment'!$L$2:$L$204,"Medium")</f>
        <v>8</v>
      </c>
      <c r="E16" s="19" t="n">
        <f aca="false">COUNTIFS('Risk Assessment'!$C$2:$C$204,$A16,'Risk Assessment'!$L$2:$L$204,"Low")</f>
        <v>0</v>
      </c>
    </row>
    <row r="17" customFormat="false" ht="15" hidden="false" customHeight="false" outlineLevel="0" collapsed="false">
      <c r="A17" s="19" t="s">
        <v>596</v>
      </c>
      <c r="B17" s="19" t="n">
        <f aca="false">COUNTIF('Risk Assessment'!$C$2:$C$204,$A17)</f>
        <v>7</v>
      </c>
      <c r="C17" s="19" t="n">
        <f aca="false">COUNTIFS('Risk Assessment'!$C$2:$C$204,$A17,'Risk Assessment'!$L$2:$L$204,"High")</f>
        <v>4</v>
      </c>
      <c r="D17" s="19" t="n">
        <f aca="false">COUNTIFS('Risk Assessment'!$C$2:$C$204,$A17,'Risk Assessment'!$L$2:$L$204,"Medium")</f>
        <v>3</v>
      </c>
      <c r="E17" s="19" t="n">
        <f aca="false">COUNTIFS('Risk Assessment'!$C$2:$C$204,$A17,'Risk Assessment'!$L$2:$L$204,"Low")</f>
        <v>0</v>
      </c>
    </row>
    <row r="18" customFormat="false" ht="15" hidden="false" customHeight="false" outlineLevel="0" collapsed="false">
      <c r="A18" s="19" t="s">
        <v>165</v>
      </c>
      <c r="B18" s="19" t="n">
        <f aca="false">COUNTIF('Risk Assessment'!$C$2:$C$204,$A18)</f>
        <v>13</v>
      </c>
      <c r="C18" s="19" t="n">
        <f aca="false">COUNTIFS('Risk Assessment'!$C$2:$C$204,$A18,'Risk Assessment'!$L$2:$L$204,"High")</f>
        <v>7</v>
      </c>
      <c r="D18" s="19" t="n">
        <f aca="false">COUNTIFS('Risk Assessment'!$C$2:$C$204,$A18,'Risk Assessment'!$L$2:$L$204,"Medium")</f>
        <v>3</v>
      </c>
      <c r="E18" s="19" t="n">
        <f aca="false">COUNTIFS('Risk Assessment'!$C$2:$C$204,$A18,'Risk Assessment'!$L$2:$L$204,"Low")</f>
        <v>3</v>
      </c>
    </row>
    <row r="19" customFormat="false" ht="15" hidden="false" customHeight="false" outlineLevel="0" collapsed="false">
      <c r="A19" s="19" t="s">
        <v>95</v>
      </c>
      <c r="B19" s="19" t="n">
        <f aca="false">COUNTIF('Risk Assessment'!$C$2:$C$204,$A19)</f>
        <v>10</v>
      </c>
      <c r="C19" s="19" t="n">
        <f aca="false">COUNTIFS('Risk Assessment'!$C$2:$C$204,$A19,'Risk Assessment'!$L$2:$L$204,"High")</f>
        <v>2</v>
      </c>
      <c r="D19" s="19" t="n">
        <f aca="false">COUNTIFS('Risk Assessment'!$C$2:$C$204,$A19,'Risk Assessment'!$L$2:$L$204,"Medium")</f>
        <v>3</v>
      </c>
      <c r="E19" s="19" t="n">
        <f aca="false">COUNTIFS('Risk Assessment'!$C$2:$C$204,$A19,'Risk Assessment'!$L$2:$L$204,"Low")</f>
        <v>5</v>
      </c>
    </row>
    <row r="20" customFormat="false" ht="15" hidden="false" customHeight="false" outlineLevel="0" collapsed="false">
      <c r="A20" s="19" t="s">
        <v>788</v>
      </c>
      <c r="B20" s="19" t="n">
        <f aca="false">COUNTIF('Risk Assessment'!$C$2:$C$204,$A20)</f>
        <v>3</v>
      </c>
      <c r="C20" s="19" t="n">
        <f aca="false">COUNTIFS('Risk Assessment'!$C$2:$C$204,$A20,'Risk Assessment'!$L$2:$L$204,"High")</f>
        <v>0</v>
      </c>
      <c r="D20" s="19" t="n">
        <f aca="false">COUNTIFS('Risk Assessment'!$C$2:$C$204,$A20,'Risk Assessment'!$L$2:$L$204,"Medium")</f>
        <v>0</v>
      </c>
      <c r="E20" s="19" t="n">
        <f aca="false">COUNTIFS('Risk Assessment'!$C$2:$C$204,$A20,'Risk Assessment'!$L$2:$L$204,"Low")</f>
        <v>3</v>
      </c>
    </row>
    <row r="21" customFormat="false" ht="15" hidden="false" customHeight="false" outlineLevel="0" collapsed="false">
      <c r="A21" s="19" t="s">
        <v>404</v>
      </c>
      <c r="B21" s="19" t="n">
        <f aca="false">COUNTIF('Risk Assessment'!$C$2:$C$204,$A21)</f>
        <v>19</v>
      </c>
      <c r="C21" s="19" t="n">
        <f aca="false">COUNTIFS('Risk Assessment'!$C$2:$C$204,$A21,'Risk Assessment'!$L$2:$L$204,"High")</f>
        <v>6</v>
      </c>
      <c r="D21" s="19" t="n">
        <f aca="false">COUNTIFS('Risk Assessment'!$C$2:$C$204,$A21,'Risk Assessment'!$L$2:$L$204,"Medium")</f>
        <v>8</v>
      </c>
      <c r="E21" s="19" t="n">
        <f aca="false">COUNTIFS('Risk Assessment'!$C$2:$C$204,$A21,'Risk Assessment'!$L$2:$L$204,"Low")</f>
        <v>5</v>
      </c>
    </row>
    <row r="22" customFormat="false" ht="15" hidden="false" customHeight="false" outlineLevel="0" collapsed="false">
      <c r="A22" s="19" t="s">
        <v>202</v>
      </c>
      <c r="B22" s="19" t="n">
        <f aca="false">COUNTIF('Risk Assessment'!$C$2:$C$204,$A22)</f>
        <v>10</v>
      </c>
      <c r="C22" s="19" t="n">
        <f aca="false">COUNTIFS('Risk Assessment'!$C$2:$C$204,$A22,'Risk Assessment'!$L$2:$L$204,"High")</f>
        <v>6</v>
      </c>
      <c r="D22" s="19" t="n">
        <f aca="false">COUNTIFS('Risk Assessment'!$C$2:$C$204,$A22,'Risk Assessment'!$L$2:$L$204,"Medium")</f>
        <v>4</v>
      </c>
      <c r="E22" s="19" t="n">
        <f aca="false">COUNTIFS('Risk Assessment'!$C$2:$C$204,$A22,'Risk Assessment'!$L$2:$L$204,"Low")</f>
        <v>0</v>
      </c>
    </row>
    <row r="23" customFormat="false" ht="15" hidden="false" customHeight="false" outlineLevel="0" collapsed="false">
      <c r="A23" s="19" t="s">
        <v>636</v>
      </c>
      <c r="B23" s="19" t="n">
        <f aca="false">COUNTIF('Risk Assessment'!$C$2:$C$204,$A23)</f>
        <v>1</v>
      </c>
      <c r="C23" s="19" t="n">
        <f aca="false">COUNTIFS('Risk Assessment'!$C$2:$C$204,$A23,'Risk Assessment'!$L$2:$L$204,"High")</f>
        <v>0</v>
      </c>
      <c r="D23" s="19" t="n">
        <f aca="false">COUNTIFS('Risk Assessment'!$C$2:$C$204,$A23,'Risk Assessment'!$L$2:$L$204,"Medium")</f>
        <v>0</v>
      </c>
      <c r="E23" s="19" t="n">
        <f aca="false">COUNTIFS('Risk Assessment'!$C$2:$C$204,$A23,'Risk Assessment'!$L$2:$L$204,"Low")</f>
        <v>1</v>
      </c>
    </row>
    <row r="24" customFormat="false" ht="15" hidden="false" customHeight="false" outlineLevel="0" collapsed="false">
      <c r="A24" s="19" t="s">
        <v>236</v>
      </c>
      <c r="B24" s="19" t="n">
        <f aca="false">COUNTIF('Risk Assessment'!$C$2:$C$204,$A24)</f>
        <v>14</v>
      </c>
      <c r="C24" s="19" t="n">
        <f aca="false">COUNTIFS('Risk Assessment'!$C$2:$C$204,$A24,'Risk Assessment'!$L$2:$L$204,"High")</f>
        <v>4</v>
      </c>
      <c r="D24" s="19" t="n">
        <f aca="false">COUNTIFS('Risk Assessment'!$C$2:$C$204,$A24,'Risk Assessment'!$L$2:$L$204,"Medium")</f>
        <v>9</v>
      </c>
      <c r="E24" s="19" t="n">
        <f aca="false">COUNTIFS('Risk Assessment'!$C$2:$C$204,$A24,'Risk Assessment'!$L$2:$L$204,"Low")</f>
        <v>1</v>
      </c>
    </row>
    <row r="25" customFormat="false" ht="15" hidden="false" customHeight="false" outlineLevel="0" collapsed="false">
      <c r="A25" s="19" t="s">
        <v>363</v>
      </c>
      <c r="B25" s="19" t="n">
        <f aca="false">COUNTIF('Risk Assessment'!$C$2:$C$204,$A25)</f>
        <v>12</v>
      </c>
      <c r="C25" s="19" t="n">
        <f aca="false">COUNTIFS('Risk Assessment'!$C$2:$C$204,$A25,'Risk Assessment'!$L$2:$L$204,"High")</f>
        <v>5</v>
      </c>
      <c r="D25" s="19" t="n">
        <f aca="false">COUNTIFS('Risk Assessment'!$C$2:$C$204,$A25,'Risk Assessment'!$L$2:$L$204,"Medium")</f>
        <v>6</v>
      </c>
      <c r="E25" s="19" t="n">
        <f aca="false">COUNTIFS('Risk Assessment'!$C$2:$C$204,$A25,'Risk Assessment'!$L$2:$L$204,"Low")</f>
        <v>1</v>
      </c>
    </row>
    <row r="26" customFormat="false" ht="15" hidden="false" customHeight="false" outlineLevel="0" collapsed="false">
      <c r="A26" s="19" t="s">
        <v>746</v>
      </c>
      <c r="B26" s="19" t="n">
        <f aca="false">COUNTIF('Risk Assessment'!$C$2:$C$204,$A26)</f>
        <v>4</v>
      </c>
      <c r="C26" s="19" t="n">
        <f aca="false">COUNTIFS('Risk Assessment'!$C$2:$C$204,$A26,'Risk Assessment'!$L$2:$L$204,"High")</f>
        <v>1</v>
      </c>
      <c r="D26" s="19" t="n">
        <f aca="false">COUNTIFS('Risk Assessment'!$C$2:$C$204,$A26,'Risk Assessment'!$L$2:$L$204,"Medium")</f>
        <v>1</v>
      </c>
      <c r="E26" s="19" t="n">
        <f aca="false">COUNTIFS('Risk Assessment'!$C$2:$C$204,$A26,'Risk Assessment'!$L$2:$L$204,"Low")</f>
        <v>2</v>
      </c>
    </row>
    <row r="27" customFormat="false" ht="15" hidden="false" customHeight="false" outlineLevel="0" collapsed="false">
      <c r="A27" s="19" t="s">
        <v>728</v>
      </c>
      <c r="B27" s="19" t="n">
        <f aca="false">COUNTIF('Risk Assessment'!$C$2:$C$204,$A27)</f>
        <v>5</v>
      </c>
      <c r="C27" s="19" t="n">
        <f aca="false">COUNTIFS('Risk Assessment'!$C$2:$C$204,$A27,'Risk Assessment'!$L$2:$L$204,"High")</f>
        <v>5</v>
      </c>
      <c r="D27" s="19" t="n">
        <f aca="false">COUNTIFS('Risk Assessment'!$C$2:$C$204,$A27,'Risk Assessment'!$L$2:$L$204,"Medium")</f>
        <v>0</v>
      </c>
      <c r="E27" s="19" t="n">
        <f aca="false">COUNTIFS('Risk Assessment'!$C$2:$C$204,$A27,'Risk Assessment'!$L$2:$L$204,"Low")</f>
        <v>0</v>
      </c>
    </row>
    <row r="28" customFormat="false" ht="15" hidden="false" customHeight="false" outlineLevel="0" collapsed="false">
      <c r="A28" s="19" t="s">
        <v>133</v>
      </c>
      <c r="B28" s="19" t="n">
        <f aca="false">COUNTIF('Risk Assessment'!$C$2:$C$204,$A28)</f>
        <v>15</v>
      </c>
      <c r="C28" s="19" t="n">
        <f aca="false">COUNTIFS('Risk Assessment'!$C$2:$C$204,$A28,'Risk Assessment'!$L$2:$L$204,"High")</f>
        <v>13</v>
      </c>
      <c r="D28" s="19" t="n">
        <f aca="false">COUNTIFS('Risk Assessment'!$C$2:$C$204,$A28,'Risk Assessment'!$L$2:$L$204,"Medium")</f>
        <v>1</v>
      </c>
      <c r="E28" s="19" t="n">
        <f aca="false">COUNTIFS('Risk Assessment'!$C$2:$C$204,$A28,'Risk Assessment'!$L$2:$L$204,"Low")</f>
        <v>1</v>
      </c>
    </row>
    <row r="29" customFormat="false" ht="15" hidden="false" customHeight="false" outlineLevel="0" collapsed="false">
      <c r="A29" s="19" t="s">
        <v>484</v>
      </c>
      <c r="B29" s="19" t="n">
        <f aca="false">COUNTIF('Risk Assessment'!$C$2:$C$204,$A29)</f>
        <v>7</v>
      </c>
      <c r="C29" s="19" t="n">
        <f aca="false">COUNTIFS('Risk Assessment'!$C$2:$C$204,$A29,'Risk Assessment'!$L$2:$L$204,"High")</f>
        <v>1</v>
      </c>
      <c r="D29" s="19" t="n">
        <f aca="false">COUNTIFS('Risk Assessment'!$C$2:$C$204,$A29,'Risk Assessment'!$L$2:$L$204,"Medium")</f>
        <v>4</v>
      </c>
      <c r="E29" s="19" t="n">
        <f aca="false">COUNTIFS('Risk Assessment'!$C$2:$C$204,$A29,'Risk Assessment'!$L$2:$L$204,"Low")</f>
        <v>2</v>
      </c>
    </row>
    <row r="30" customFormat="false" ht="15" hidden="false" customHeight="false" outlineLevel="0" collapsed="false">
      <c r="A30" s="19" t="s">
        <v>315</v>
      </c>
      <c r="B30" s="19" t="n">
        <f aca="false">COUNTIF('Risk Assessment'!$C$2:$C$204,$A30)</f>
        <v>14</v>
      </c>
      <c r="C30" s="19" t="n">
        <f aca="false">COUNTIFS('Risk Assessment'!$C$2:$C$204,$A30,'Risk Assessment'!$L$2:$L$204,"High")</f>
        <v>6</v>
      </c>
      <c r="D30" s="19" t="n">
        <f aca="false">COUNTIFS('Risk Assessment'!$C$2:$C$204,$A30,'Risk Assessment'!$L$2:$L$204,"Medium")</f>
        <v>7</v>
      </c>
      <c r="E30" s="19" t="n">
        <f aca="false">COUNTIFS('Risk Assessment'!$C$2:$C$204,$A30,'Risk Assessment'!$L$2:$L$204,"Low")</f>
        <v>1</v>
      </c>
    </row>
    <row r="31" customFormat="false" ht="15" hidden="false" customHeight="false" outlineLevel="0" collapsed="false">
      <c r="A31" s="19" t="s">
        <v>280</v>
      </c>
      <c r="B31" s="19" t="n">
        <f aca="false">COUNTIF('Risk Assessment'!$C$2:$C$204,$A31)</f>
        <v>11</v>
      </c>
      <c r="C31" s="19" t="n">
        <f aca="false">COUNTIFS('Risk Assessment'!$C$2:$C$204,$A31,'Risk Assessment'!$L$2:$L$204,"High")</f>
        <v>2</v>
      </c>
      <c r="D31" s="19" t="n">
        <f aca="false">COUNTIFS('Risk Assessment'!$C$2:$C$204,$A31,'Risk Assessment'!$L$2:$L$204,"Medium")</f>
        <v>9</v>
      </c>
      <c r="E31" s="19" t="n">
        <f aca="false">COUNTIFS('Risk Assessment'!$C$2:$C$204,$A31,'Risk Assessment'!$L$2:$L$204,"Low")</f>
        <v>0</v>
      </c>
    </row>
    <row r="32" customFormat="false" ht="15" hidden="false" customHeight="false" outlineLevel="0" collapsed="false">
      <c r="A32" s="19" t="s">
        <v>646</v>
      </c>
      <c r="B32" s="19" t="n">
        <f aca="false">COUNTIF('Risk Assessment'!$C$2:$C$204,$A32)</f>
        <v>3</v>
      </c>
      <c r="C32" s="19" t="n">
        <f aca="false">COUNTIFS('Risk Assessment'!$C$2:$C$204,$A32,'Risk Assessment'!$L$2:$L$204,"High")</f>
        <v>0</v>
      </c>
      <c r="D32" s="19" t="n">
        <f aca="false">COUNTIFS('Risk Assessment'!$C$2:$C$204,$A32,'Risk Assessment'!$L$2:$L$204,"Medium")</f>
        <v>0</v>
      </c>
      <c r="E32" s="19" t="n">
        <f aca="false">COUNTIFS('Risk Assessment'!$C$2:$C$204,$A32,'Risk Assessment'!$L$2:$L$204,"Low")</f>
        <v>3</v>
      </c>
    </row>
    <row r="33" customFormat="false" ht="15" hidden="false" customHeight="false" outlineLevel="0" collapsed="false">
      <c r="A33" s="19" t="s">
        <v>575</v>
      </c>
      <c r="B33" s="19" t="n">
        <f aca="false">COUNTIF('Risk Assessment'!$C$2:$C$204,$A33)</f>
        <v>6</v>
      </c>
      <c r="C33" s="19" t="n">
        <f aca="false">COUNTIFS('Risk Assessment'!$C$2:$C$204,$A33,'Risk Assessment'!$L$2:$L$204,"High")</f>
        <v>5</v>
      </c>
      <c r="D33" s="19" t="n">
        <f aca="false">COUNTIFS('Risk Assessment'!$C$2:$C$204,$A33,'Risk Assessment'!$L$2:$L$204,"Medium")</f>
        <v>1</v>
      </c>
      <c r="E33" s="19" t="n">
        <f aca="false">COUNTIFS('Risk Assessment'!$C$2:$C$204,$A33,'Risk Assessment'!$L$2:$L$204,"Low")</f>
        <v>0</v>
      </c>
    </row>
    <row r="34" customFormat="false" ht="15" hidden="false" customHeight="false" outlineLevel="0" collapsed="false">
      <c r="A34" s="19" t="s">
        <v>657</v>
      </c>
      <c r="B34" s="19" t="n">
        <f aca="false">COUNTIF('Risk Assessment'!$C$2:$C$204,$A34)</f>
        <v>6</v>
      </c>
      <c r="C34" s="19" t="n">
        <f aca="false">COUNTIFS('Risk Assessment'!$C$2:$C$204,$A34,'Risk Assessment'!$L$2:$L$204,"High")</f>
        <v>4</v>
      </c>
      <c r="D34" s="19" t="n">
        <f aca="false">COUNTIFS('Risk Assessment'!$C$2:$C$204,$A34,'Risk Assessment'!$L$2:$L$204,"Medium")</f>
        <v>2</v>
      </c>
      <c r="E34" s="19" t="n">
        <f aca="false">COUNTIFS('Risk Assessment'!$C$2:$C$204,$A34,'Risk Assessment'!$L$2:$L$204,"Low")</f>
        <v>0</v>
      </c>
    </row>
    <row r="35" customFormat="false" ht="15" hidden="false" customHeight="false" outlineLevel="0" collapsed="false">
      <c r="A35" s="19" t="s">
        <v>678</v>
      </c>
      <c r="B35" s="19" t="n">
        <f aca="false">COUNTIF('Risk Assessment'!$C$2:$C$204,$A35)</f>
        <v>7</v>
      </c>
      <c r="C35" s="19" t="n">
        <f aca="false">COUNTIFS('Risk Assessment'!$C$2:$C$204,$A35,'Risk Assessment'!$L$2:$L$204,"High")</f>
        <v>6</v>
      </c>
      <c r="D35" s="19" t="n">
        <f aca="false">COUNTIFS('Risk Assessment'!$C$2:$C$204,$A35,'Risk Assessment'!$L$2:$L$204,"Medium")</f>
        <v>0</v>
      </c>
      <c r="E35" s="19" t="n">
        <f aca="false">COUNTIFS('Risk Assessment'!$C$2:$C$204,$A35,'Risk Assessment'!$L$2:$L$204,"Low")</f>
        <v>1</v>
      </c>
    </row>
    <row r="36" customFormat="false" ht="15" hidden="false" customHeight="false" outlineLevel="0" collapsed="false">
      <c r="A36" s="19" t="s">
        <v>467</v>
      </c>
      <c r="B36" s="19" t="n">
        <f aca="false">COUNTIF('Risk Assessment'!$C$2:$C$204,$A36)</f>
        <v>5</v>
      </c>
      <c r="C36" s="19" t="n">
        <f aca="false">COUNTIFS('Risk Assessment'!$C$2:$C$204,$A36,'Risk Assessment'!$L$2:$L$204,"High")</f>
        <v>3</v>
      </c>
      <c r="D36" s="19" t="n">
        <f aca="false">COUNTIFS('Risk Assessment'!$C$2:$C$204,$A36,'Risk Assessment'!$L$2:$L$204,"Medium")</f>
        <v>2</v>
      </c>
      <c r="E36" s="19" t="n">
        <f aca="false">COUNTIFS('Risk Assessment'!$C$2:$C$204,$A36,'Risk Assessment'!$L$2:$L$204,"Low")</f>
        <v>0</v>
      </c>
    </row>
    <row r="37" customFormat="false" ht="15" hidden="false" customHeight="false" outlineLevel="0" collapsed="false">
      <c r="A37" s="19" t="s">
        <v>624</v>
      </c>
      <c r="B37" s="19" t="n">
        <f aca="false">COUNTIF('Risk Assessment'!$C$2:$C$204,$A37)</f>
        <v>3</v>
      </c>
      <c r="C37" s="19" t="n">
        <f aca="false">COUNTIFS('Risk Assessment'!$C$2:$C$204,$A37,'Risk Assessment'!$L$2:$L$204,"High")</f>
        <v>0</v>
      </c>
      <c r="D37" s="19" t="n">
        <f aca="false">COUNTIFS('Risk Assessment'!$C$2:$C$204,$A37,'Risk Assessment'!$L$2:$L$204,"Medium")</f>
        <v>0</v>
      </c>
      <c r="E37" s="19" t="n">
        <f aca="false">COUNTIFS('Risk Assessment'!$C$2:$C$204,$A37,'Risk Assessment'!$L$2:$L$204,"Low")</f>
        <v>3</v>
      </c>
    </row>
    <row r="38" customFormat="false" ht="15" hidden="false" customHeight="false" outlineLevel="0" collapsed="false">
      <c r="A38" s="21" t="s">
        <v>825</v>
      </c>
      <c r="B38" s="19" t="n">
        <f aca="false">SUM(B13:B37)</f>
        <v>203</v>
      </c>
      <c r="C38" s="19" t="n">
        <f aca="false">SUM(C13:C37)</f>
        <v>95</v>
      </c>
      <c r="D38" s="19" t="n">
        <f aca="false">SUM(D13:D37)</f>
        <v>75</v>
      </c>
      <c r="E38" s="19" t="n">
        <f aca="false">SUM(E13:E37)</f>
        <v>33</v>
      </c>
    </row>
    <row r="40" customFormat="false" ht="15" hidden="false" customHeight="false" outlineLevel="0" collapsed="false">
      <c r="A40" s="21" t="s">
        <v>827</v>
      </c>
    </row>
    <row r="41" customFormat="false" ht="31.5" hidden="false" customHeight="true" outlineLevel="0" collapsed="false">
      <c r="A41" s="14" t="s">
        <v>73</v>
      </c>
      <c r="B41" s="14" t="s">
        <v>828</v>
      </c>
      <c r="C41" s="14" t="s">
        <v>829</v>
      </c>
      <c r="D41" s="14" t="s">
        <v>830</v>
      </c>
    </row>
    <row r="42" customFormat="false" ht="23.85" hidden="false" customHeight="false" outlineLevel="0" collapsed="false">
      <c r="A42" s="19" t="s">
        <v>831</v>
      </c>
      <c r="B42" s="19" t="n">
        <f aca="false">COUNTIF('Risk Assessment'!$L$2:$L$204,"High")</f>
        <v>95</v>
      </c>
      <c r="C42" s="19" t="n">
        <f aca="false">B42*2</f>
        <v>190</v>
      </c>
      <c r="D42" s="19" t="s">
        <v>832</v>
      </c>
    </row>
    <row r="43" customFormat="false" ht="15" hidden="false" customHeight="false" outlineLevel="0" collapsed="false">
      <c r="A43" s="19" t="s">
        <v>833</v>
      </c>
      <c r="B43" s="19" t="n">
        <f aca="false">COUNTIF('Risk Assessment'!$L$2:$L$204,"Medium")</f>
        <v>75</v>
      </c>
      <c r="C43" s="19" t="n">
        <f aca="false">B43</f>
        <v>75</v>
      </c>
      <c r="D43" s="19" t="s">
        <v>834</v>
      </c>
    </row>
    <row r="44" customFormat="false" ht="15" hidden="false" customHeight="false" outlineLevel="0" collapsed="false">
      <c r="A44" s="19" t="s">
        <v>835</v>
      </c>
      <c r="B44" s="19" t="n">
        <f aca="false">COUNTIF('Risk Assessment'!$L$2:$L$204,"Low")</f>
        <v>33</v>
      </c>
      <c r="C44" s="19" t="n">
        <f aca="false">ROUNDUP(B44/4,0)</f>
        <v>9</v>
      </c>
      <c r="D44" s="19" t="s">
        <v>836</v>
      </c>
    </row>
    <row r="45" customFormat="false" ht="15" hidden="false" customHeight="false" outlineLevel="0" collapsed="false">
      <c r="A45" s="21" t="s">
        <v>825</v>
      </c>
      <c r="B45" s="19" t="n">
        <f aca="false">SUM(B42:B44)</f>
        <v>203</v>
      </c>
      <c r="C45" s="19" t="n">
        <f aca="false">SUM(C42:C44)</f>
        <v>274</v>
      </c>
    </row>
    <row r="47" customFormat="false" ht="35.05" hidden="false" customHeight="false" outlineLevel="0" collapsed="false">
      <c r="A47" s="19" t="s">
        <v>837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2026-08-05T22:56:51Z</dcterms:created>
  <dc:creator>openpyxl</dc:creator>
  <dc:description/>
  <dc:language>en-US</dc:language>
  <cp:lastModifiedBy/>
  <dcterms:modified xsi:type="dcterms:W3CDTF">2026-08-05T22:56:51Z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